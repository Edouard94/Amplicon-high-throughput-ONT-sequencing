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https://universityofexeteruk-my.sharepoint.com/personal/e_bessette_exeter_ac_uk/Documents/PhD_EdouardMicrosporidia/Thesis/Chapter3_Protist parasites survey/"/>
    </mc:Choice>
  </mc:AlternateContent>
  <xr:revisionPtr revIDLastSave="2733" documentId="8_{5B6D6610-D239-4B3D-B5E0-3FB07FF9B944}" xr6:coauthVersionLast="47" xr6:coauthVersionMax="47" xr10:uidLastSave="{DD5AE346-F1BA-4F18-AE51-93538F884ACE}"/>
  <bookViews>
    <workbookView xWindow="-110" yWindow="-110" windowWidth="19420" windowHeight="10560" xr2:uid="{00000000-000D-0000-FFFF-FFFF00000000}"/>
  </bookViews>
  <sheets>
    <sheet name="Sheet1" sheetId="1" r:id="rId1"/>
    <sheet name="Pivot" sheetId="27" r:id="rId2"/>
    <sheet name="Run_Metrics" sheetId="5" r:id="rId3"/>
    <sheet name="Data_Table1" sheetId="26" r:id="rId4"/>
    <sheet name="ConcatGregarine_18S_28S" sheetId="28" r:id="rId5"/>
  </sheets>
  <functionGroups builtInGroupCount="19"/>
  <definedNames>
    <definedName name="_xlcn.WorksheetConnection_AmpliconsTable_March25.xlsmTable131" hidden="1">Table13[]</definedName>
  </definedNames>
  <calcPr calcId="191028"/>
  <pivotCaches>
    <pivotCache cacheId="0" r:id="rId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AmpliconsTable_March25.xlsm!Table13"/>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27" i="1" l="1"/>
  <c r="V26" i="1"/>
  <c r="V27" i="1"/>
  <c r="V28" i="1"/>
  <c r="V29" i="1"/>
  <c r="V30" i="1"/>
  <c r="V31" i="1"/>
  <c r="V32" i="1"/>
  <c r="V33" i="1"/>
  <c r="V34" i="1"/>
  <c r="V35" i="1"/>
  <c r="V36" i="1"/>
  <c r="V37"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8" i="1"/>
  <c r="S8" i="1" s="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8" i="1"/>
  <c r="N14" i="26"/>
  <c r="V143" i="1"/>
  <c r="V136" i="1"/>
  <c r="V135" i="1"/>
  <c r="V126" i="1"/>
  <c r="V125" i="1"/>
  <c r="V124" i="1"/>
  <c r="V123" i="1"/>
  <c r="V115" i="1"/>
  <c r="V114" i="1"/>
  <c r="V113" i="1"/>
  <c r="V109" i="1"/>
  <c r="V101" i="1"/>
  <c r="V134" i="1"/>
  <c r="V133" i="1"/>
  <c r="Z93" i="1"/>
  <c r="X93" i="1"/>
  <c r="V93" i="1"/>
  <c r="T93" i="1"/>
  <c r="Z92" i="1"/>
  <c r="X92" i="1"/>
  <c r="V92" i="1"/>
  <c r="T92" i="1"/>
  <c r="Z90" i="1"/>
  <c r="X90" i="1"/>
  <c r="V90" i="1"/>
  <c r="T90" i="1"/>
  <c r="Z88" i="1"/>
  <c r="X88" i="1"/>
  <c r="V88" i="1"/>
  <c r="T88" i="1"/>
  <c r="Z87" i="1"/>
  <c r="X87" i="1"/>
  <c r="V87" i="1"/>
  <c r="T87" i="1"/>
  <c r="Z72" i="1"/>
  <c r="X72" i="1"/>
  <c r="V72" i="1"/>
  <c r="T72" i="1"/>
  <c r="Z71" i="1"/>
  <c r="X71" i="1"/>
  <c r="V71" i="1"/>
  <c r="T71" i="1"/>
  <c r="Z75" i="1"/>
  <c r="X75" i="1"/>
  <c r="V75" i="1"/>
  <c r="T75" i="1"/>
  <c r="Z74" i="1"/>
  <c r="X74" i="1"/>
  <c r="V74" i="1"/>
  <c r="T74" i="1"/>
  <c r="Z80" i="1"/>
  <c r="X80" i="1"/>
  <c r="V80" i="1"/>
  <c r="T80" i="1"/>
  <c r="Z79" i="1"/>
  <c r="X79" i="1"/>
  <c r="V79" i="1"/>
  <c r="T79" i="1"/>
  <c r="Z77" i="1"/>
  <c r="X77" i="1"/>
  <c r="V77" i="1"/>
  <c r="T77" i="1"/>
  <c r="Z76" i="1"/>
  <c r="X76" i="1"/>
  <c r="V76" i="1"/>
  <c r="T76" i="1"/>
  <c r="Z82" i="1"/>
  <c r="X82" i="1"/>
  <c r="V82" i="1"/>
  <c r="T82" i="1"/>
  <c r="Z81" i="1"/>
  <c r="X81" i="1"/>
  <c r="V81" i="1"/>
  <c r="T81" i="1"/>
  <c r="Z85" i="1"/>
  <c r="X85" i="1"/>
  <c r="V85" i="1"/>
  <c r="T85" i="1"/>
  <c r="Z69" i="1"/>
  <c r="X69" i="1"/>
  <c r="V69" i="1"/>
  <c r="T69" i="1"/>
  <c r="Z67" i="1"/>
  <c r="X67" i="1"/>
  <c r="V67" i="1"/>
  <c r="T67" i="1"/>
  <c r="X65" i="1"/>
  <c r="Z65" i="1"/>
  <c r="T62" i="1"/>
  <c r="Z60" i="1"/>
  <c r="X60" i="1"/>
  <c r="V60" i="1"/>
  <c r="T60" i="1"/>
  <c r="Z59" i="1"/>
  <c r="X59" i="1"/>
  <c r="V59" i="1"/>
  <c r="T59" i="1"/>
  <c r="Z58" i="1"/>
  <c r="X58" i="1"/>
  <c r="V58" i="1"/>
  <c r="T58" i="1"/>
  <c r="Z56" i="1"/>
  <c r="X56" i="1"/>
  <c r="V56" i="1"/>
  <c r="T56" i="1"/>
  <c r="Z54" i="1"/>
  <c r="X54" i="1"/>
  <c r="V54" i="1"/>
  <c r="T54" i="1"/>
  <c r="Z53" i="1"/>
  <c r="X53" i="1"/>
  <c r="V53" i="1"/>
  <c r="T53" i="1"/>
  <c r="Z52" i="1"/>
  <c r="X52" i="1"/>
  <c r="V52" i="1"/>
  <c r="T52" i="1"/>
  <c r="Z49" i="1"/>
  <c r="X49" i="1"/>
  <c r="V49" i="1"/>
  <c r="T49" i="1"/>
  <c r="Z48" i="1"/>
  <c r="X48" i="1"/>
  <c r="V48" i="1"/>
  <c r="T48" i="1"/>
  <c r="Z46" i="1"/>
  <c r="X46" i="1"/>
  <c r="V46" i="1"/>
  <c r="T46" i="1"/>
  <c r="Z44" i="1"/>
  <c r="X44" i="1"/>
  <c r="V44" i="1"/>
  <c r="T44" i="1"/>
  <c r="Z43" i="1"/>
  <c r="X43" i="1"/>
  <c r="V43" i="1"/>
  <c r="T43" i="1"/>
  <c r="Z42" i="1"/>
  <c r="X42" i="1"/>
  <c r="V42" i="1"/>
  <c r="T42" i="1"/>
  <c r="Z41" i="1"/>
  <c r="X41" i="1"/>
  <c r="V41" i="1"/>
  <c r="T41" i="1"/>
  <c r="Z37" i="1"/>
  <c r="X37" i="1"/>
  <c r="T37" i="1"/>
  <c r="Z35" i="1"/>
  <c r="X35" i="1"/>
  <c r="T35" i="1"/>
  <c r="Z32" i="1"/>
  <c r="X32" i="1"/>
  <c r="T32" i="1"/>
  <c r="Z31" i="1"/>
  <c r="X31" i="1"/>
  <c r="T31" i="1"/>
  <c r="Z30" i="1"/>
  <c r="X30" i="1"/>
  <c r="T30" i="1"/>
  <c r="Z29" i="1"/>
  <c r="X29" i="1"/>
  <c r="T29" i="1"/>
  <c r="Z28" i="1"/>
  <c r="X28" i="1"/>
  <c r="T28" i="1"/>
  <c r="Z27" i="1"/>
  <c r="X27" i="1"/>
  <c r="T27" i="1"/>
  <c r="Z23" i="1"/>
  <c r="X23" i="1"/>
  <c r="V23" i="1"/>
  <c r="T23" i="1"/>
  <c r="Z21" i="1"/>
  <c r="X21" i="1"/>
  <c r="V21" i="1"/>
  <c r="T21" i="1"/>
  <c r="T9" i="1"/>
  <c r="V9" i="1"/>
  <c r="X9" i="1"/>
  <c r="Z9" i="1"/>
  <c r="V13" i="1"/>
  <c r="V14" i="1"/>
  <c r="V15" i="1"/>
  <c r="V16" i="1"/>
  <c r="V17" i="1"/>
  <c r="V18" i="1"/>
  <c r="V19" i="1"/>
  <c r="V20" i="1"/>
  <c r="Z13" i="1"/>
  <c r="X13" i="1"/>
  <c r="T13" i="1"/>
  <c r="Z16" i="1"/>
  <c r="X16" i="1"/>
  <c r="Z15" i="1"/>
  <c r="X15" i="1"/>
  <c r="Z14" i="1"/>
  <c r="X14" i="1"/>
  <c r="T16" i="1"/>
  <c r="T15" i="1"/>
  <c r="T14" i="1"/>
  <c r="Z19" i="1"/>
  <c r="X19" i="1"/>
  <c r="Z18" i="1"/>
  <c r="X18" i="1"/>
  <c r="T19" i="1"/>
  <c r="T18" i="1"/>
  <c r="T101" i="1"/>
  <c r="Z101" i="1"/>
  <c r="X101" i="1"/>
  <c r="Z95" i="1"/>
  <c r="X95" i="1"/>
  <c r="T95" i="1"/>
  <c r="Z143" i="1"/>
  <c r="X143" i="1"/>
  <c r="T143" i="1"/>
  <c r="Z129" i="1"/>
  <c r="Z130" i="1"/>
  <c r="Z131" i="1"/>
  <c r="Z132" i="1"/>
  <c r="T132" i="1"/>
  <c r="T131" i="1"/>
  <c r="T130" i="1"/>
  <c r="T129" i="1"/>
  <c r="X129" i="1"/>
  <c r="X130" i="1"/>
  <c r="X132" i="1"/>
  <c r="X131" i="1"/>
  <c r="Z133" i="1"/>
  <c r="Z134" i="1"/>
  <c r="X133" i="1"/>
  <c r="X134" i="1"/>
  <c r="T133" i="1"/>
  <c r="T134" i="1"/>
  <c r="AH37" i="1" a="1"/>
  <c r="AH52" i="1" a="1"/>
  <c r="AH13" i="1" a="1"/>
  <c r="AH82" i="1" a="1"/>
  <c r="AH88" i="1" a="1"/>
  <c r="AH44" i="1" a="1"/>
  <c r="AH74" i="1" a="1"/>
  <c r="AH60" i="1" a="1"/>
  <c r="AH59" i="1" a="1"/>
  <c r="AH78" i="1" a="1"/>
  <c r="AH90" i="1" a="1"/>
  <c r="AH69" i="1" a="1"/>
  <c r="AH35" i="1" a="1"/>
  <c r="AH94" i="1" a="1"/>
  <c r="AH72" i="1" a="1"/>
  <c r="AH134" i="1" a="1"/>
  <c r="AH76" i="1" a="1"/>
  <c r="S14" i="1" l="1"/>
  <c r="S143" i="1"/>
  <c r="S135" i="1"/>
  <c r="S127" i="1"/>
  <c r="S119" i="1"/>
  <c r="S111" i="1"/>
  <c r="S103" i="1"/>
  <c r="S95" i="1"/>
  <c r="S87" i="1"/>
  <c r="S79" i="1"/>
  <c r="S71" i="1"/>
  <c r="S63" i="1"/>
  <c r="S55" i="1"/>
  <c r="S47" i="1"/>
  <c r="S39" i="1"/>
  <c r="S31" i="1"/>
  <c r="S23" i="1"/>
  <c r="S15" i="1"/>
  <c r="S10" i="1"/>
  <c r="S110" i="1"/>
  <c r="S86" i="1"/>
  <c r="S78" i="1"/>
  <c r="S46" i="1"/>
  <c r="S38" i="1"/>
  <c r="S30" i="1"/>
  <c r="S22" i="1"/>
  <c r="S142" i="1"/>
  <c r="S102" i="1"/>
  <c r="S70" i="1"/>
  <c r="S140" i="1"/>
  <c r="S132" i="1"/>
  <c r="S124" i="1"/>
  <c r="S116" i="1"/>
  <c r="S108" i="1"/>
  <c r="S100" i="1"/>
  <c r="S92" i="1"/>
  <c r="S84" i="1"/>
  <c r="S76" i="1"/>
  <c r="S68" i="1"/>
  <c r="S60" i="1"/>
  <c r="S52" i="1"/>
  <c r="S44" i="1"/>
  <c r="S36" i="1"/>
  <c r="S28" i="1"/>
  <c r="S20" i="1"/>
  <c r="S12" i="1"/>
  <c r="S94" i="1"/>
  <c r="S54" i="1"/>
  <c r="S139" i="1"/>
  <c r="S131" i="1"/>
  <c r="S123" i="1"/>
  <c r="S115" i="1"/>
  <c r="S107" i="1"/>
  <c r="S99" i="1"/>
  <c r="S91" i="1"/>
  <c r="S83" i="1"/>
  <c r="S75" i="1"/>
  <c r="S67" i="1"/>
  <c r="S59" i="1"/>
  <c r="S51" i="1"/>
  <c r="S43" i="1"/>
  <c r="S35" i="1"/>
  <c r="S27" i="1"/>
  <c r="S19" i="1"/>
  <c r="S11" i="1"/>
  <c r="S118" i="1"/>
  <c r="S62" i="1"/>
  <c r="S126" i="1"/>
  <c r="S137" i="1"/>
  <c r="S129" i="1"/>
  <c r="S121" i="1"/>
  <c r="S113" i="1"/>
  <c r="S105" i="1"/>
  <c r="S97" i="1"/>
  <c r="S89" i="1"/>
  <c r="S81" i="1"/>
  <c r="S73" i="1"/>
  <c r="S65" i="1"/>
  <c r="S57" i="1"/>
  <c r="S49" i="1"/>
  <c r="S41" i="1"/>
  <c r="S33" i="1"/>
  <c r="S25" i="1"/>
  <c r="S17" i="1"/>
  <c r="S9" i="1"/>
  <c r="S134" i="1"/>
  <c r="S144" i="1"/>
  <c r="S136" i="1"/>
  <c r="S128" i="1"/>
  <c r="S120" i="1"/>
  <c r="S112" i="1"/>
  <c r="S104" i="1"/>
  <c r="S96" i="1"/>
  <c r="S88" i="1"/>
  <c r="S80" i="1"/>
  <c r="S72" i="1"/>
  <c r="S64" i="1"/>
  <c r="S56" i="1"/>
  <c r="S48" i="1"/>
  <c r="S40" i="1"/>
  <c r="S32" i="1"/>
  <c r="S24" i="1"/>
  <c r="S21" i="1"/>
  <c r="S122" i="1"/>
  <c r="S98" i="1"/>
  <c r="S66" i="1"/>
  <c r="S26" i="1"/>
  <c r="S16" i="1"/>
  <c r="S106" i="1"/>
  <c r="S74" i="1"/>
  <c r="S18" i="1"/>
  <c r="F14" i="1"/>
  <c r="S138" i="1"/>
  <c r="S34" i="1"/>
  <c r="S114" i="1"/>
  <c r="S82" i="1"/>
  <c r="S50" i="1"/>
  <c r="S141" i="1"/>
  <c r="S125" i="1"/>
  <c r="S109" i="1"/>
  <c r="S85" i="1"/>
  <c r="S69" i="1"/>
  <c r="S37" i="1"/>
  <c r="S13" i="1"/>
  <c r="S130" i="1"/>
  <c r="S90" i="1"/>
  <c r="S58" i="1"/>
  <c r="S42" i="1"/>
  <c r="S133" i="1"/>
  <c r="S117" i="1"/>
  <c r="S101" i="1"/>
  <c r="S93" i="1"/>
  <c r="S77" i="1"/>
  <c r="S61" i="1"/>
  <c r="S53" i="1"/>
  <c r="S45" i="1"/>
  <c r="S29" i="1"/>
  <c r="F118" i="1"/>
  <c r="F46" i="1"/>
  <c r="F134" i="1"/>
  <c r="F110" i="1"/>
  <c r="F102" i="1"/>
  <c r="F86" i="1"/>
  <c r="F62" i="1"/>
  <c r="F30" i="1"/>
  <c r="F142" i="1"/>
  <c r="F126" i="1"/>
  <c r="F94" i="1"/>
  <c r="F78" i="1"/>
  <c r="F70" i="1"/>
  <c r="F54" i="1"/>
  <c r="F38" i="1"/>
  <c r="F22" i="1"/>
  <c r="F130" i="1"/>
  <c r="F122" i="1"/>
  <c r="F114" i="1"/>
  <c r="F106" i="1"/>
  <c r="F98" i="1"/>
  <c r="F90" i="1"/>
  <c r="F82" i="1"/>
  <c r="F74" i="1"/>
  <c r="F66" i="1"/>
  <c r="F58" i="1"/>
  <c r="F50" i="1"/>
  <c r="F42" i="1"/>
  <c r="F26" i="1"/>
  <c r="F18" i="1"/>
  <c r="F25" i="1"/>
  <c r="F144" i="1"/>
  <c r="F136" i="1"/>
  <c r="F128" i="1"/>
  <c r="F120" i="1"/>
  <c r="F112" i="1"/>
  <c r="F104" i="1"/>
  <c r="F96" i="1"/>
  <c r="F88" i="1"/>
  <c r="F80" i="1"/>
  <c r="F72" i="1"/>
  <c r="F64" i="1"/>
  <c r="F56" i="1"/>
  <c r="F48" i="1"/>
  <c r="F40" i="1"/>
  <c r="F32" i="1"/>
  <c r="F24" i="1"/>
  <c r="F16" i="1"/>
  <c r="F8" i="1"/>
  <c r="F9" i="1"/>
  <c r="F137" i="1"/>
  <c r="F113" i="1"/>
  <c r="F89" i="1"/>
  <c r="F65" i="1"/>
  <c r="F41" i="1"/>
  <c r="F17" i="1"/>
  <c r="F143" i="1"/>
  <c r="F135" i="1"/>
  <c r="F127" i="1"/>
  <c r="F119" i="1"/>
  <c r="F111" i="1"/>
  <c r="F103" i="1"/>
  <c r="F95" i="1"/>
  <c r="F87" i="1"/>
  <c r="F79" i="1"/>
  <c r="F71" i="1"/>
  <c r="F63" i="1"/>
  <c r="F55" i="1"/>
  <c r="F47" i="1"/>
  <c r="F39" i="1"/>
  <c r="F31" i="1"/>
  <c r="F23" i="1"/>
  <c r="F15" i="1"/>
  <c r="F121" i="1"/>
  <c r="F97" i="1"/>
  <c r="F73" i="1"/>
  <c r="F49" i="1"/>
  <c r="F141" i="1"/>
  <c r="F125" i="1"/>
  <c r="F117" i="1"/>
  <c r="F101" i="1"/>
  <c r="F85" i="1"/>
  <c r="F61" i="1"/>
  <c r="F45" i="1"/>
  <c r="F29" i="1"/>
  <c r="F133" i="1"/>
  <c r="F109" i="1"/>
  <c r="F93" i="1"/>
  <c r="F77" i="1"/>
  <c r="F69" i="1"/>
  <c r="F53" i="1"/>
  <c r="F37" i="1"/>
  <c r="F21" i="1"/>
  <c r="F13" i="1"/>
  <c r="F140" i="1"/>
  <c r="F132" i="1"/>
  <c r="F124" i="1"/>
  <c r="F116" i="1"/>
  <c r="F108" i="1"/>
  <c r="F100" i="1"/>
  <c r="F92" i="1"/>
  <c r="F84" i="1"/>
  <c r="F76" i="1"/>
  <c r="F68" i="1"/>
  <c r="F60" i="1"/>
  <c r="F52" i="1"/>
  <c r="F44" i="1"/>
  <c r="F36" i="1"/>
  <c r="F28" i="1"/>
  <c r="F20" i="1"/>
  <c r="F12" i="1"/>
  <c r="F139" i="1"/>
  <c r="F131" i="1"/>
  <c r="F123" i="1"/>
  <c r="F115" i="1"/>
  <c r="F107" i="1"/>
  <c r="F99" i="1"/>
  <c r="F91" i="1"/>
  <c r="F83" i="1"/>
  <c r="F75" i="1"/>
  <c r="F67" i="1"/>
  <c r="F59" i="1"/>
  <c r="F51" i="1"/>
  <c r="F43" i="1"/>
  <c r="F35" i="1"/>
  <c r="F27" i="1"/>
  <c r="F19" i="1"/>
  <c r="F11" i="1"/>
  <c r="F138" i="1"/>
  <c r="F34" i="1"/>
  <c r="F10" i="1"/>
  <c r="F129" i="1"/>
  <c r="F105" i="1"/>
  <c r="F81" i="1"/>
  <c r="F57" i="1"/>
  <c r="F33" i="1"/>
  <c r="AH94" i="1"/>
  <c r="AH90" i="1"/>
  <c r="AH88" i="1"/>
  <c r="AH72" i="1"/>
  <c r="AH74" i="1"/>
  <c r="AH78" i="1"/>
  <c r="AH76" i="1"/>
  <c r="AH82" i="1"/>
  <c r="AH69" i="1"/>
  <c r="AH60" i="1"/>
  <c r="AH59" i="1"/>
  <c r="AH52" i="1"/>
  <c r="AH44" i="1"/>
  <c r="AH37" i="1"/>
  <c r="AH35" i="1"/>
  <c r="AH13" i="1"/>
  <c r="AH134" i="1"/>
  <c r="Z141" i="1"/>
  <c r="T141" i="1"/>
  <c r="X141" i="1"/>
  <c r="Z137" i="1"/>
  <c r="Z138" i="1"/>
  <c r="Z139" i="1"/>
  <c r="T137" i="1"/>
  <c r="T138" i="1"/>
  <c r="X137" i="1"/>
  <c r="X138" i="1"/>
  <c r="T139" i="1"/>
  <c r="X139" i="1"/>
  <c r="Z123" i="1"/>
  <c r="X123" i="1"/>
  <c r="T123" i="1"/>
  <c r="Z120" i="1"/>
  <c r="Z121" i="1"/>
  <c r="Z122" i="1"/>
  <c r="T120" i="1"/>
  <c r="T121" i="1"/>
  <c r="X120" i="1"/>
  <c r="X121" i="1"/>
  <c r="T122" i="1"/>
  <c r="X122" i="1"/>
  <c r="T112" i="1"/>
  <c r="Z112" i="1"/>
  <c r="X112" i="1"/>
  <c r="T127" i="1"/>
  <c r="Z127" i="1"/>
  <c r="X127" i="1"/>
  <c r="Z126" i="1"/>
  <c r="X126" i="1"/>
  <c r="T126" i="1"/>
  <c r="Z119" i="1"/>
  <c r="X119" i="1"/>
  <c r="Z118" i="1"/>
  <c r="X118" i="1"/>
  <c r="T119" i="1"/>
  <c r="T118" i="1"/>
  <c r="Z109" i="1"/>
  <c r="X109" i="1"/>
  <c r="T109" i="1"/>
  <c r="T105" i="1"/>
  <c r="T106" i="1"/>
  <c r="V106" i="1"/>
  <c r="X106" i="1"/>
  <c r="Z106" i="1"/>
  <c r="T107" i="1"/>
  <c r="V107" i="1"/>
  <c r="X107" i="1"/>
  <c r="Z107" i="1"/>
  <c r="AI114" i="1"/>
  <c r="AH123" i="1" a="1"/>
  <c r="AH123" i="1" l="1"/>
  <c r="V66" i="1"/>
  <c r="V10" i="1"/>
  <c r="V22" i="1"/>
  <c r="V24" i="1"/>
  <c r="V25" i="1"/>
  <c r="V96" i="1"/>
  <c r="V39" i="1"/>
  <c r="V40" i="1"/>
  <c r="V45" i="1"/>
  <c r="V47" i="1"/>
  <c r="V51" i="1"/>
  <c r="V68" i="1"/>
  <c r="V55" i="1"/>
  <c r="V57" i="1"/>
  <c r="V61" i="1"/>
  <c r="V12" i="1"/>
  <c r="V70" i="1"/>
  <c r="V73" i="1"/>
  <c r="V78" i="1"/>
  <c r="V38" i="1"/>
  <c r="V89" i="1"/>
  <c r="V97" i="1"/>
  <c r="V98" i="1"/>
  <c r="V83" i="1"/>
  <c r="V84" i="1"/>
  <c r="V86" i="1"/>
  <c r="V94" i="1"/>
  <c r="V91" i="1"/>
  <c r="V63" i="1"/>
  <c r="V100" i="1"/>
  <c r="V102" i="1"/>
  <c r="V64" i="1"/>
  <c r="V50" i="1"/>
  <c r="V128" i="1"/>
  <c r="V116" i="1"/>
  <c r="V117" i="1"/>
  <c r="V140" i="1"/>
  <c r="V142" i="1"/>
  <c r="V105" i="1"/>
  <c r="V108" i="1"/>
  <c r="V110" i="1"/>
  <c r="V111" i="1"/>
  <c r="V144" i="1"/>
  <c r="V8" i="1"/>
  <c r="Z61" i="1"/>
  <c r="T55" i="1"/>
  <c r="Z55" i="1"/>
  <c r="X55" i="1"/>
  <c r="T17" i="1"/>
  <c r="G5" i="5"/>
  <c r="G4" i="5"/>
  <c r="G3" i="5"/>
  <c r="G2" i="5"/>
  <c r="AI144" i="1" l="1"/>
  <c r="AI135" i="1"/>
  <c r="AI136" i="1"/>
  <c r="AI142" i="1"/>
  <c r="AI128" i="1"/>
  <c r="AI125" i="1"/>
  <c r="AI124" i="1"/>
  <c r="AI116" i="1"/>
  <c r="AI117" i="1"/>
  <c r="AI115" i="1"/>
  <c r="AI113" i="1"/>
  <c r="AI111" i="1"/>
  <c r="AI108" i="1"/>
  <c r="AI105" i="1"/>
  <c r="AI97" i="1"/>
  <c r="AI96" i="1"/>
  <c r="AI94" i="1"/>
  <c r="AI89" i="1"/>
  <c r="AI78" i="1"/>
  <c r="AI84" i="1"/>
  <c r="AI57" i="1"/>
  <c r="AI61" i="1"/>
  <c r="AI64" i="1"/>
  <c r="AI40" i="1"/>
  <c r="AI24" i="1"/>
  <c r="AI26" i="1"/>
  <c r="AI36" i="1"/>
  <c r="AI10" i="1"/>
  <c r="X140" i="1" l="1"/>
  <c r="X135" i="1"/>
  <c r="X136" i="1"/>
  <c r="Z135" i="1"/>
  <c r="AJ135" i="1" s="1"/>
  <c r="Z136" i="1"/>
  <c r="AJ136" i="1" s="1"/>
  <c r="T136" i="1"/>
  <c r="Z117" i="1"/>
  <c r="AJ117" i="1" s="1"/>
  <c r="T117" i="1"/>
  <c r="X117" i="1"/>
  <c r="Z108" i="1"/>
  <c r="AJ108" i="1" s="1"/>
  <c r="Z110" i="1"/>
  <c r="Z111" i="1"/>
  <c r="AJ111" i="1" s="1"/>
  <c r="Z113" i="1"/>
  <c r="AJ113" i="1" s="1"/>
  <c r="Z114" i="1"/>
  <c r="AJ114" i="1" s="1"/>
  <c r="Z115" i="1"/>
  <c r="AJ115" i="1" s="1"/>
  <c r="Z116" i="1"/>
  <c r="AJ116" i="1" s="1"/>
  <c r="Z124" i="1"/>
  <c r="AJ124" i="1" s="1"/>
  <c r="Z125" i="1"/>
  <c r="AJ125" i="1" s="1"/>
  <c r="Z128" i="1"/>
  <c r="AJ128" i="1" s="1"/>
  <c r="Z142" i="1"/>
  <c r="AJ142" i="1" s="1"/>
  <c r="Z140" i="1"/>
  <c r="Z144" i="1"/>
  <c r="AJ144" i="1" s="1"/>
  <c r="Z105" i="1"/>
  <c r="AJ105" i="1" s="1"/>
  <c r="X110" i="1"/>
  <c r="T108" i="1"/>
  <c r="T110" i="1"/>
  <c r="T111" i="1"/>
  <c r="T113" i="1"/>
  <c r="T114" i="1"/>
  <c r="T115" i="1"/>
  <c r="T116" i="1"/>
  <c r="T124" i="1"/>
  <c r="T125" i="1"/>
  <c r="T128" i="1"/>
  <c r="T142" i="1"/>
  <c r="T135" i="1"/>
  <c r="T140" i="1"/>
  <c r="T144" i="1"/>
  <c r="X108" i="1"/>
  <c r="X111" i="1"/>
  <c r="X113" i="1"/>
  <c r="X114" i="1"/>
  <c r="X115" i="1"/>
  <c r="X116" i="1"/>
  <c r="X124" i="1"/>
  <c r="X125" i="1"/>
  <c r="X128" i="1"/>
  <c r="X142" i="1"/>
  <c r="X144" i="1"/>
  <c r="X105" i="1"/>
  <c r="T97" i="1"/>
  <c r="Z96" i="1"/>
  <c r="AJ96" i="1" s="1"/>
  <c r="Z97" i="1"/>
  <c r="AJ97" i="1" s="1"/>
  <c r="Z98" i="1"/>
  <c r="Z100" i="1"/>
  <c r="Z102" i="1"/>
  <c r="X97" i="1"/>
  <c r="X98" i="1"/>
  <c r="X100" i="1"/>
  <c r="X102" i="1"/>
  <c r="X12" i="1"/>
  <c r="X20" i="1"/>
  <c r="X10" i="1"/>
  <c r="X8" i="1"/>
  <c r="X33" i="1"/>
  <c r="X36" i="1"/>
  <c r="X34" i="1"/>
  <c r="X38" i="1"/>
  <c r="X22" i="1"/>
  <c r="X26" i="1"/>
  <c r="X24" i="1"/>
  <c r="X25" i="1"/>
  <c r="X45" i="1"/>
  <c r="X47" i="1"/>
  <c r="X39" i="1"/>
  <c r="X40" i="1"/>
  <c r="X50" i="1"/>
  <c r="X63" i="1"/>
  <c r="X64" i="1"/>
  <c r="X66" i="1"/>
  <c r="X61" i="1"/>
  <c r="X57" i="1"/>
  <c r="X51" i="1"/>
  <c r="X68" i="1"/>
  <c r="X70" i="1"/>
  <c r="X84" i="1"/>
  <c r="X83" i="1"/>
  <c r="X86" i="1"/>
  <c r="X78" i="1"/>
  <c r="X73" i="1"/>
  <c r="X89" i="1"/>
  <c r="X91" i="1"/>
  <c r="X94" i="1"/>
  <c r="X96" i="1"/>
  <c r="X17" i="1"/>
  <c r="T12" i="1"/>
  <c r="T20" i="1"/>
  <c r="T10" i="1"/>
  <c r="T11" i="1"/>
  <c r="T8" i="1"/>
  <c r="T33" i="1"/>
  <c r="T36" i="1"/>
  <c r="T34" i="1"/>
  <c r="T38" i="1"/>
  <c r="T22" i="1"/>
  <c r="T26" i="1"/>
  <c r="T24" i="1"/>
  <c r="T25" i="1"/>
  <c r="T45" i="1"/>
  <c r="T47" i="1"/>
  <c r="T39" i="1"/>
  <c r="T40" i="1"/>
  <c r="T50" i="1"/>
  <c r="T63" i="1"/>
  <c r="T64" i="1"/>
  <c r="T66" i="1"/>
  <c r="T61" i="1"/>
  <c r="T57" i="1"/>
  <c r="T51" i="1"/>
  <c r="T68" i="1"/>
  <c r="T70" i="1"/>
  <c r="T84" i="1"/>
  <c r="T83" i="1"/>
  <c r="T86" i="1"/>
  <c r="T78" i="1"/>
  <c r="T73" i="1"/>
  <c r="T89" i="1"/>
  <c r="T91" i="1"/>
  <c r="T94" i="1"/>
  <c r="T96" i="1"/>
  <c r="T98" i="1"/>
  <c r="T99" i="1"/>
  <c r="T100" i="1"/>
  <c r="T102" i="1"/>
  <c r="T103" i="1"/>
  <c r="T104" i="1"/>
  <c r="Z39" i="1" l="1"/>
  <c r="Z40" i="1"/>
  <c r="AJ40" i="1" s="1"/>
  <c r="Z45" i="1"/>
  <c r="Z47" i="1"/>
  <c r="Z50" i="1"/>
  <c r="Z63" i="1"/>
  <c r="Z64" i="1"/>
  <c r="AJ64" i="1" s="1"/>
  <c r="Z66" i="1"/>
  <c r="AJ61" i="1"/>
  <c r="Z57" i="1"/>
  <c r="AJ57" i="1" s="1"/>
  <c r="Z51" i="1"/>
  <c r="Z68" i="1"/>
  <c r="Z70" i="1"/>
  <c r="Z84" i="1"/>
  <c r="AJ84" i="1" s="1"/>
  <c r="Z83" i="1"/>
  <c r="Z86" i="1"/>
  <c r="Z78" i="1"/>
  <c r="AJ78" i="1" s="1"/>
  <c r="Z73" i="1"/>
  <c r="Z89" i="1"/>
  <c r="AJ89" i="1" s="1"/>
  <c r="Z91" i="1"/>
  <c r="Z94" i="1"/>
  <c r="AJ94" i="1" s="1"/>
  <c r="Z25" i="1"/>
  <c r="Z22" i="1" l="1"/>
  <c r="Z26" i="1"/>
  <c r="AJ26" i="1" s="1"/>
  <c r="Z24" i="1"/>
  <c r="AJ24" i="1" s="1"/>
  <c r="Z33" i="1"/>
  <c r="Z34" i="1"/>
  <c r="Z38" i="1"/>
  <c r="Z36" i="1"/>
  <c r="AJ36" i="1" s="1"/>
  <c r="Z10" i="1"/>
  <c r="AJ10" i="1" s="1"/>
  <c r="Z8" i="1"/>
  <c r="Z12" i="1"/>
  <c r="Z17" i="1"/>
  <c r="Z2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A3D98-4CB1-4BFF-AF3D-2DB48B9E7F3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88F5E6B-8996-468D-90A2-E5B28D53B160}" name="WorksheetConnection_AmpliconsTable_March25.xlsm!Table13" type="102" refreshedVersion="8" minRefreshableVersion="5">
    <extLst>
      <ext xmlns:x15="http://schemas.microsoft.com/office/spreadsheetml/2010/11/main" uri="{DE250136-89BD-433C-8126-D09CA5730AF9}">
        <x15:connection id="Table13" autoDelete="1">
          <x15:rangePr sourceName="_xlcn.WorksheetConnection_AmpliconsTable_March25.xlsmTable131"/>
        </x15:connection>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4">
    <s v="ThisWorkbookDataModel"/>
    <s v="{[Table13].[Supported_by_x_reads].&amp;[2],[Table13].[Supported_by_x_reads].&amp;[3],[Table13].[Supported_by_x_reads].&amp;[4],[Table13].[Supported_by_x_reads].&amp;[5],[Table13].[Supported_by_x_reads].&amp;[6],[Table13].[Supported_by_x_reads].&amp;[7],[Table13].[Supported_by_x_reads].&amp;[8],[Table13].[Supported_by_x_reads].&amp;[9],[Table13].[Supported_by_x_reads].&amp;[11],[Table13].[Supported_by_x_reads].&amp;[14],[Table13].[Supported_by_x_reads].&amp;[15],[Table13].[Supported_by_x_reads].&amp;[17],[Table13].[Supported_by_x_reads].&amp;[18],[Table13].[Supported_by_x_reads].&amp;[19],[Table13].[Supported_by_x_reads].&amp;[24],[Table13].[Supported_by_x_reads].&amp;[29],[Table13].[Supported_by_x_reads].&amp;[30],[Table13].[Supported_by_x_reads].&amp;[31],[Table13].[Supported_by_x_reads].&amp;[36],[Table13].[Supported_by_x_reads].&amp;[37],[Table13].[Supported_by_x_reads].&amp;[39],[Table13].[Supported_by_x_reads].&amp;[40],[Table13].[Supported_by_x_reads].&amp;[42],[Table13].[Supported_by_x_reads].&amp;[45],[Table13].[Supported_by_x_reads].&amp;[47],[Table13].[Supported_by_x_reads].&amp;[48],[Table13].[Supported_by_x_reads].&amp;[51],[Table13].[Supported_by_x_reads].&amp;[53],[Table13].[Supported_by_x_reads].&amp;[56],[Table13].[Supported_by_x_reads].&amp;[59],[Table13].[Supported_by_x_reads].&amp;[61],[Table13].[Supported_by_x_reads].&amp;[62],[Table13].[Supported_by_x_reads].&amp;[69],[Table13].[Supported_by_x_reads].&amp;[70],[Table13].[Supported_by_x_reads].&amp;[73],[Table13].[Supported_by_x_reads].&amp;[77],[Table13].[Supported_by_x_reads].&amp;[79],[Table13].[Supported_by_x_reads].&amp;[80],[Table13].[Supported_by_x_reads].&amp;[81],[Table13].[Supported_by_x_reads].&amp;[84],[Table13].[Supported_by_x_reads].&amp;[88],[Table13].[Supported_by_x_reads].&amp;[99],[Table13].[Supported_by_x_reads].&amp;[NA],[Table13].[Supported_by_x_reads].&amp;[100],[Table13].[Supported_by_x_reads].&amp;[104],[Table13].[Supported_by_x_reads].&amp;[105],[Table13].[Supported_by_x_reads].&amp;[114],[Table13].[Supported_by_x_reads].&amp;[116],[Table13].[Supported_by_x_reads].&amp;[117],[Table13].[Supported_by_x_reads].&amp;[130],[Table13].[Supported_by_x_reads].&amp;[133],[Table13].[Supported_by_x_reads].&amp;[172],[Table13].[Supported_by_x_reads].&amp;[195],[Table13].[Supported_by_x_reads].&amp;[197],[Table13].[Supported_by_x_reads].&amp;[205],[Table13].[Supported_by_x_reads].&amp;[235],[Table13].[Supported_by_x_reads].&amp;[275],[Table13].[Supported_by_x_reads].&amp;[279],[Table13].[Supported_by_x_reads].&amp;[284],[Table13].[Supported_by_x_reads].&amp;[290]}"/>
    <s v="{[Table13].[Blast_Upper_Taxon].&amp;[Gregarinasina]}"/>
    <s v="{[Table13].[Included in phylo. analysis].&amp;[Yes]}"/>
  </metadataStrings>
  <mdxMetadata count="3">
    <mdx n="0" f="s">
      <ms ns="1" c="0"/>
    </mdx>
    <mdx n="0" f="s">
      <ms ns="2" c="0"/>
    </mdx>
    <mdx n="0" f="s">
      <ms ns="3" c="0"/>
    </mdx>
  </mdxMetadata>
  <futureMetadata name="XLDAPR" count="1">
    <bk>
      <extLst>
        <ext uri="{bdbb8cdc-fa1e-496e-a857-3c3f30c029c3}">
          <xda:dynamicArrayProperties fDynamic="1" fCollapsed="0"/>
        </ext>
      </extLst>
    </bk>
  </futureMetadata>
  <cellMetadata count="1">
    <bk>
      <rc t="2" v="0"/>
    </bk>
  </cellMetadata>
  <valueMetadata count="3">
    <bk>
      <rc t="1" v="0"/>
    </bk>
    <bk>
      <rc t="1" v="1"/>
    </bk>
    <bk>
      <rc t="1" v="2"/>
    </bk>
  </valueMetadata>
</metadata>
</file>

<file path=xl/sharedStrings.xml><?xml version="1.0" encoding="utf-8"?>
<sst xmlns="http://schemas.openxmlformats.org/spreadsheetml/2006/main" count="2347" uniqueCount="576">
  <si>
    <t>Nanopore_Run</t>
  </si>
  <si>
    <t>Nanopore_Run_Date</t>
  </si>
  <si>
    <t>Barcode_ID</t>
  </si>
  <si>
    <t>Reads count</t>
  </si>
  <si>
    <t>Average_barcode_score</t>
  </si>
  <si>
    <t>Ref</t>
  </si>
  <si>
    <t>Host</t>
  </si>
  <si>
    <t>Primers</t>
  </si>
  <si>
    <t>Amplicon</t>
  </si>
  <si>
    <t>Primer_forward</t>
  </si>
  <si>
    <t>Primer_reverse</t>
  </si>
  <si>
    <t>Amplicons_size</t>
  </si>
  <si>
    <t>Cutadapt_Metrics_Total_Reads</t>
  </si>
  <si>
    <t>Percentage_cutadapt_of_total_reads</t>
  </si>
  <si>
    <t>Amplicon_consensus</t>
  </si>
  <si>
    <t>Supported_by_x_reads</t>
  </si>
  <si>
    <t>Percentage_of_supported_reads_cutadapt_reads</t>
  </si>
  <si>
    <t>Sequence</t>
  </si>
  <si>
    <t>Sequence_length</t>
  </si>
  <si>
    <t>Seq_RC_Yes_No</t>
  </si>
  <si>
    <t>Correct_seq_if_RC</t>
  </si>
  <si>
    <t>Column1</t>
  </si>
  <si>
    <t>Column2</t>
  </si>
  <si>
    <t>Gb</t>
  </si>
  <si>
    <t>Gryllus bimaculatus</t>
  </si>
  <si>
    <t>GregRC / iLSUr</t>
  </si>
  <si>
    <t>Long - Nested</t>
  </si>
  <si>
    <t>GAAGAAGTCGTAACACG</t>
  </si>
  <si>
    <t>ACCTGTCTCACGACGGTCTAAAC</t>
  </si>
  <si>
    <t>&gt;consensus_cl_id_0_total_supporting_reads_4</t>
  </si>
  <si>
    <t>CCGGCTCACGTTCCTATTAGCGGGTGAACAATCCGACATTTGAACTTCTCGTCTCAATGATAGGAAGAGCCGACATCGAAGGATCAAAAAGCAACGTCGCTATGAACGCTTGGCTGCCACAAGCCAGTTATCCGTGGTAACTTTTCTGTCACCTCTAGCCAGAACCTTCTGGACTTAAAGGATCGATAGGCCATGCTTTTCGCGAGTTCGTATTCGCACTGGAAATCAGAATCGGCGGCTTTTCCCCTTTCAGTCTACGGGAGATTTCTGTTCTCTCTGAGTCAACCTTAGGGCATCTGCGTTGCGGTTGGCAGAGTGCCGTCCCAAAAACTCCCCTCTGAATATGTTCTCTGATACGATCGGTAAGGAGAACCTTAAATCTAGAACACGTAGAAAAGCGTGATTCGTTGTGACAAGTAAGTAGAGCGACAGTGGAGGTCGTGGTGATTTCACTGTCGCCAAAGCTCCACGTGTGCTCACCCCCAGAGTCCACTCCACAAAGTCAGACTAGGTCAAGCTCAACAGGGTCTTCTTTCCCCCGCTTATTTTGCCAAGCCCGTTCCACTTGGCTGTGGTTTCGCTAGATGGCGGATGGGGACAGTAGGAGTCTCGGTTGTTCCATTCATGCGCGTCACTAATTAAATGACGAGGCATTTGGCTACCTTAAGGAGTCGTAGTTACTCCGCCGTTGCCACGCTTGACGCATTCATCACAATGACATTCCGGCCTGGGCAGAAATCACGTTGCGCCAAAGCGTTGCCGCTTGTCGCAATGCTTTGTTTTAATTAAACGGTCAGGTCTACTCTTGTCCGTACCAGTTCTGGGTGGCCGGTTAATGCCAACAGGATGGCCGAAGCTCCTAGTGGAGGCCACCGCTCCGTTGCAACTCCCAAAGCGAGTGAAGCCACTCCAAAGAAAAGCGAGAACGATGAACTGTCAATAGGCCTGTCGGCCCTCAGAGCCAATCCTTTTTCCAAGGTACGGATCTAATTTGCCGACTTCCCTCATCGCCTGTATTCTATCGACCAGGGGCTGCGAACCTAGGAGACCTGATGCGGTTTAGGGTACGGCTAGAAAGTGGAGTAAATATCCCTTGGGGTTTCAGAGCCAATAGAAGCGCACCGGATTTCCAACGGTGTAAGAAACTATGCCAACTTTTCATCCTTTTCTCCGGATAAGCCGATTCAAAGGAGTGATTGTCAAAGAGCAAAATAACGCTCCCAGGGCTTCTCCTGGCAACCCAAGTTCAGTTGTGTTACCACAACCCACCAACTAGTAAAGGAATTTGGGCCTTTTTCCCTTTCAGGTCAAGAGGCGAAGCCTCACTCTGAAGGAGTAAGCTTTTCCTTTAGGGCCGACTAACCCGAGGACAATTGCTGTTCTCCCGGAACCCCTTATCCACTTCCGGGTCATCAAAGTTCTCATTTGATTAGTGCTACTACCACCAAGATCTGCACTAGAGGCTGCTCCAGCTAGTTTCACAACTAAGCCTTCTCAGCAACCCCCACGCCCTCCTACGTCAATGCTAATTTCATTGACGGTTTGGTATCGGCCGCCCGCTTGAGCGCTATCCATTTTCCAGGGCTGGTCATTCGGCAGGTGAGTTATTACACACTCCTTAGCGGTTTCAACTTCGATGACCACCGCCCTGCTGTTTGAATGAACCAACACCTTATGGTCTGATCTGCAGTGTTGAGCGCCTTAACCAATCGTTCGGAGCATCTCACCAGTTCTGCTTGCAAAACTGGCCCACTAGAAGTATCGTTCATCTGCCGGGCTAACTGAATTGGCAAGGTTGCTTAGCCCAAAGTTTGAGAATAGGTCGAGGCGGGATGCCCCCGGGGCCTCTAATCATTCTTTACCGGATCACTGATCATTAACTTCCACTATCCTGAGGAAACTTCGGAGGGGAACCAGCTACTAGATGGTTCGATTAGTCTTTTCGCCCCTATGCCGAAGTTTGACGAACGGCACGTCGGTATCGCTACGAGCTTCCACCAGGGTTTCCCCTGCTTCACCCAACTCAGGTATAGGTCTGCATCTTTCGGGTCTAAACGAAAATGCTCGGGCTCGAACTTCAAGGAGTCGGCTGCTGTTGCGTGTAATTCACAGCTTTTGCTTACTCACGTCTGGGTTTGACACCTTGCACTCGCACTTTCGTTTAACTCCTTGGTCCGTGTTTCAAGGCGGATCGTCTGTCCGTGCCGCTCTCGACAACTTGCAAAGGCGGCCACGCTGATCGAGTCAGAGTAAGTTATAGCCGAAGCGACAGCAAGTCATAACATACGGAAGTGATGTCGAGTAATGTAATGAGAGAAATCTCTCAAACATTGGGTCTGGACAGCCGCTTCCCCCTCAGCGATTTCAGGTATTTTAACTCTCCTTTCGAAGTGCTTTTCAACTTTCCCTCACGGTACTTGTTTGCTATCGATCTCTCACCGTTATCTAGCCGTGGATGGAGGTTACCACCCATTTTGCGCTCTACTCCCAAGAGAGCGTGACTGTTAGATTAAAGCTGTACTTGAGAATGGCTGGAATAAGAACAGGGCTGTCACCTTCTCTGGCGTGCCTTTCAGGCATCTTCTTCCCAGTTTCTCAATAGTATAACCTCGATGCACAACTCCGTCAGAAACGGATTAACATCGCGGGCTCTTCCCATTCGTTCGTACTACTACGGGAATCCCAGTTGGTTTCTTTTCCTCCGCTTAATTATATGCTTAAATTCAGCGGGTGGCCTCTGCTTGAGCTCGGATCATGATTTGAGAAGCCTACTGTAATTACCTCAACATTTCACTGTATGAGTTCTTGCAGGTAGCATCGTTGTGCCGTGACGTAAGTTGCACGGTATGTCATCCATTCAATCGAAATTGATTGGAGAAATCTATACGATACCGAGCCACACTTACTTCAGGCCGAGGCCAAGTACCTTTGCGTTCAGGGATCTGGTGAATCACGAAATTTCGCAAGTCATACTGCTTATCACGGTTTGCTGCGTCCTTCCTAGTGTGAGTCGAGTCATCCATCGCTGAGAGTTTTAATTCTCATTATTCAATGATTTAAGTCATGTTATTAACATTGAGTGCTTAGGTTGGTTGTTGTTTAAACAGGAATGATCCATCCGCAGGTTCACTACGGATGCCGTGTTACGACTTCTTCAGGTGCTGGAGTCTTGTGTCCCAGTTACCAGGTT</t>
  </si>
  <si>
    <t>NA</t>
  </si>
  <si>
    <t>Yes</t>
  </si>
  <si>
    <t>AACCTGGTAACTGGGACACAAGACTCCAGCACCTGAAGAAGTCGTAACACGGCATCCGTAGTGAACCTGCGGATGGATCATTCCTGTTTAAACAACAACCAACCTAAGCACTCAATGTTAATAACATGACTTAAATCATTGAATAATGAGAATTAAAACTCTCAGCGATGGATGACTCGACTCACACTAGGAAGGACGCAGCAAACCGTGATAAGCAGTATGACTTGCGAAATTTCGTGATTCACCAGATCCCTGAACGCAAAGGTACTTGGCCTCGGCCTGAAGTAAGTGTGGCTCGGTATCGTATAGATTTCTCCAATCAATTTCGATTGAATGGATGACATACCGTGCAACTTACGTCACGGCACAACGATGCTACCTGCAAGAACTCATACAGTGAAATGTTGAGGTAATTACAGTAGGCTTCTCAAATCATGATCCGAGCTCAAGCAGAGGCCACCCGCTGAATTTAAGCATATAATTAAGCGGAGGAAAAGAAACCAACTGGGATTCCCGTAGTAGTACGAACGAATGGGAAGAGCCCGCGATGTTAATCCGTTTCTGACGGAGTTGTGCATCGAGGTTATACTATTGAGAAACTGGGAAGAAGATGCCTGAAAGGCACGCCAGAGAAGGTGACAGCCCTGTTCTTATTCCAGCCATTCTCAAGTACAGCTTTAATCTAACAGTCACGCTCTCTTGGGAGTAGAGCGCAAAATGGGTGGTAACCTCCATCCACGGCTAGATAACGGTGAGAGATCGATAGCAAACAAGTACCGTGAGGGAAAGTTGAAAAGCACTTCGAAAGGAGAGTTAAAATACCTGAAATCGCTGAGGGGGAAGCGGCTGTCCAGACCCAATGTTTGAGAGATTTCTCTCATTACATTACTCGACATCACTTCCGTATGTTATGACTTGCTGTCGCTTCGGCTATAACTTACTCTGACTCGATCAGCGTGGCCGCCTTTGCAAGTTGTCGAGAGCGGCACGGACAGACGATCCGCCTTGAAACACGGACCAAGGAGTTAAACGAAAGTGCGAGTGCAAGGTGTCAAACCCAGACGTGAGTAAGCAAAAGCTGTGAATTACACGCAACAGCAGCCGACTCCTTGAAGTTCGAGCCCGAGCATTTTCGTTTAGACCCGAAAGATGCAGACCTATACCTGAGTTGGGTGAAGCAGGGGAAACCCTGGTGGAAGCTCGTAGCGATACCGACGTGCCGTTCGTCAAACTTCGGCATAGGGGCGAAAAGACTAATCGAACCATCTAGTAGCTGGTTCCCCTCCGAAGTTTCCTCAGGATAGTGGAAGTTAATGATCAGTGATCCGGTAAAGAATGATTAGAGGCCCCGGGGGCATCCCGCCTCGACCTATTCTCAAACTTTGGGCTAAGCAACCTTGCCAATTCAGTTAGCCCGGCAGATGAACGATACTTCTAGTGGGCCAGTTTTGCAAGCAGAACTGGTGAGATGCTCCGAACGATTGGTTAAGGCGCTCAACACTGCAGATCAGACCATAAGGTGTTGGTTCATTCAAACAGCAGGGCGGTGGTCATCGAAGTTGAAACCGCTAAGGAGTGTGTAATAACTCACCTGCCGAATGACCAGCCCTGGAAAATGGATAGCGCTCAAGCGGGCGGCCGATACCAAACCGTCAATGAAATTAGCATTGACGTAGGAGGGCGTGGGGGTTGCTGAGAAGGCTTAGTTGTGAAACTAGCTGGAGCAGCCTCTAGTGCAGATCTTGGTGGTAGTAGCACTAATCAAATGAGAACTTTGATGACCCGGAAGTGGATAAGGGGTTCCGGGAGAACAGCAATTGTCCTCGGGTTAGTCGGCCCTAAAGGAAAAGCTTACTCCTTCAGAGTGAGGCTTCGCCTCTTGACCTGAAAGGGAAAAAGGCCCAAATTCCTTTACTAGTTGGTGGGTTGTGGTAACACAACTGAACTTGGGTTGCCAGGAGAAGCCCTGGGAGCGTTATTTTGCTCTTTGACAATCACTCCTTTGAATCGGCTTATCCGGAGAAAAGGATGAAAAGTTGGCATAGTTTCTTACACCGTTGGAAATCCGGTGCGCTTCTATTGGCTCTGAAACCCCAAGGGATATTTACTCCACTTTCTAGCCGTACCCTAAACCGCATCAGGTCTCCTAGGTTCGCAGCCCCTGGTCGATAGAATACAGGCGATGAGGGAAGTCGGCAAATTAGATCCGTACCTTGGAAAAAGGATTGGCTCTGAGGGCCGACAGGCCTATTGACAGTTCATCGTTCTCGCTTTTCTTTGGAGTGGCTTCACTCGCTTTGGGAGTTGCAACGGAGCGGTGGCCTCCACTAGGAGCTTCGGCCATCCTGTTGGCATTAACCGGCCACCCAGAACTGGTACGGACAAGAGTAGACCTGACCGTTTAATTAAAACAAAGCATTGCGACAAGCGGCAACGCTTTGGCGCAACGTGATTTCTGCCCAGGCCGGAATGTCATTGTGATGAATGCGTCAAGCGTGGCAACGGCGGAGTAACTACGACTCCTTAAGGTAGCCAAATGCCTCGTCATTTAATTAGTGACGCGCATGAATGGAACAACCGAGACTCCTACTGTCCCCATCCGCCATCTAGCGAAACCACAGCCAAGTGGAACGGGCTTGGCAAAATAAGCGGGGGAAAGAAGACCCTGTTGAGCTTGACCTAGTCTGACTTTGTGGAGTGGACTCTGGGGGTGAGCACACGTGGAGCTTTGGCGACAGTGAAATCACCACGACCTCCACTGTCGCTCTACTTACTTGTCACAACGAATCACGCTTTTCTACGTGTTCTAGATTTAAGGTTCTCCTTACCGATCGTATCAGAGAACATATTCAGAGGGGAGTTTTTGGGACGGCACTCTGCCAACCGCAACGCAGATGCCCTAAGGTTGACTCAGAGAGAACAGAAATCTCCCGTAGACTGAAAGGGGAAAAGCCGCCGATTCTGATTTCCAGTGCGAATACGAACTCGCGAAAAGCATGGCCTATCGATCCTTTAAGTCCAGAAGGTTCTGGCTAGAGGTGACAGAAAAGTTACCACGGATAACTGGCTTGTGGCAGCCAAGCGTTCATAGCGACGTTGCTTTTTGATCCTTCGATGTCGGCTCTTCCTATCATTGAGACGAGAAGTTCAAATGTCGGATTGTTCACCCGCTAATAGGAACGTGAGCCGG</t>
  </si>
  <si>
    <t>Alphitobius diaperinus</t>
  </si>
  <si>
    <t>AmRC / iLSUr</t>
  </si>
  <si>
    <t>GTGATGCCCTTAGAYRTCTTGG</t>
  </si>
  <si>
    <t>Amoebozoa</t>
  </si>
  <si>
    <t>Pb</t>
  </si>
  <si>
    <t>Pieris brassicae</t>
  </si>
  <si>
    <t>CM-V5RC / iLSUr</t>
  </si>
  <si>
    <t>GAGTGGAKTGTGCTGNTTA</t>
  </si>
  <si>
    <t>Microsporidia</t>
  </si>
  <si>
    <t>&gt;consensus_cl_id_0_total_supporting_reads_1</t>
  </si>
  <si>
    <t>CCAGCTCACGTTCCCTATTGGTGGGTGAACAATCCAACACTTATCGAATTCTGCTTCGATATGATAGGAAGAGCCGACATCGAAGGATCAAAAAGGCAACGTCACGCTATAGACGCTTGGCTGCCACAAGCCAGTTATCCCTGTGGTAACTTTTCTGACACCTCTTGGTTTAAATTCTAAACATCAAAAGGATCGATAGGCCATACTTTCATAGTTTGTATTCACACTGAAAATCAAAATCAAGGGGCTTTTGCCGCTTTTTGTTCTACTTGAGATTTCTGTTCTCAATGAGCTCCCCTTTGGACACCTGCGTTATTATTTAACAGATGTACCGCCCAAATATTCCCCGTCGACGGTAATAATCAACAACTTATAATTCTATAAAGAAGGTTTGCACCAACAAGTCACAATTAATTAAGTAAAAAAACGATAAAGGTAGTGGTATTTCACTGTCGGGCAAGCCCTCCCACTTATTCTACACCCTCATGTCTTTTCACAATGTCAAACTAGAGTCAAGCTCAACAGGGTCTTCTTTCCCCGCTGATGTTTCCAAGCCCGTTCCCTTGGCTGTGGTTTCGCTAGATAGTAGATAGGGACAGTGGGAATCTCGTTAATCCATTCACATGCGCGTCACTAATTAGATGACGAGGCATTGGCTACCTTAAGAGAGTCATAGTTACTCCGCCGTTAACCCGCGCTTGGTTGAATTTCTTCACTTTGACATTCAGAGCACTGGGCAGAAATCACATTGTGTCAACACACATTACTGGCCTTCACAATGCTATGTTTTAATTAGACAGTCAGATTCCCCTTGTTCGTACCGAGTTCTAAGTTGGTTATTAATTATAGCCAGTAGCAAGATTGTTTGCAAAATCCAGCCTGCCTTTGCCGAAACATTAGGCGAGCCAAATCTTACATTCTCTCAAGTTCCCAAACTACCTAACCCTTAGAGCCAATTCTTTCCCAAAGTTACGAATCTATTTTGCCGACTTCCCTTATCTACATTATACTATTAACTAGAGGCTGTTCACCTTGAGGACCTGCTGCGGTTATGGGTACGACGAGTGTAGCACTTTAATAAACTCATCTGGATTTTCGAAGTGAAAGTAAACCGGACTCAACTTTAAAGCTCGTGCTCTGCCATCTCCCCAACCTTATCTCCAGCCAAGCTGATTCCAAAGGTCAGGTATGATGTTAAAAAGAAAGAATGCTCTTCCCAGTACTTCCTACAATGTCTCCAGACTCGCCGCGTTACCGCTTAAATTCACTACATCTAAATTCCAGAATTTCAGCTGGATTCCCTTTCGGAGTGAGACCTTAGGACCTCTACTTAATCATAATACTTAAATCAAAATCCCAATACATACTAATAATAAGCTAATATAATAACCAAATAAATTTAATTACTATACTTCACCTACACTCATACATATCAAAACTTTAACTCAAATACTATAATCTCATATAGGCTTTTCAAATCTTCTGGCGCGTTAACCAACTCCTTAGTATCGATTAACCTATGGACAACTACTGTCGCCATAGAACCCTTCCCCACTTCAGTCTTCAAAGATCTAATTTGAATATTTGCTACTACCACCAAGATCTGCAGCAAAGGCTGATCCACCAAGAGTTACCCAAGGCTTCAACTCAACCCCCCGCGCCTGCCTACACATTATCAATAAATTACTTTGATAATGGGCAAATATAGGTATACGCTTAGCGCCATCCATTTCAGGGCTAGTTCATTCGGCAGGTGAGTTGTTACACACTCCTTAGCGGATTCCGACTTCCATGGCCACCGTCCTGCTGTCTATATGAACTAACACCTTTTGTGGTTTCTACATAAGCGTGGCTTAGGCATAACTTACCGTTCGGTTCATCCCGCATCGCCAGTTCTGCTTACCAAAAATGGCCCACTAGAAACTCTTATTCATAATATCCTAGTTCAATTAAGAAACTAAGATTGTCTTACGCATTCAAAGTTTGAGAATAGGTTAAATATTTTGAATACCTAAGACCTCTAATCATTCGCTTTACCACATAAAACTATTACTTCGAGCTTCTGCTATCCTGAAACTTCGGCAGGAACCCGGCTACTAGATGGTTCGATTAGTCTTCGCCCCTATACCCAAATTTGACGATCGATTTGCGTCAGAATCGCTACGAGCTTCCACCAGGGTTTCCCTGGCTTCACCTAATCAGGCATAGTTCACCATCTTTCGGGTACCAACATATATGCTCTTACTCAAACCATGAAAAAAATCCCTATAGCTCGGTCGATAGTGCACCCTTGCGGGAATCCCTACCTTGAAATTACTTTCATTGCGCAGTCTGGTTTTAAGCCATAATACTTGCATATATGTTAGACTCCTTGGTCCGTGTTTCAAGACGGGTCGCTTAAGTCTTCTTAACTATTAAAGCATGTGGCAGTACTAGGCCTTAATTAAAAACCACTCTAGCACAAGTCTATTATAGTGTTTAATTCAAGAGCCAGCCACCGTATATTTCTACACTGGCCCAAACTTTATCAGACTAAAAGGGCTTTAAGAAGTTAAACCGAAATTCAACTTACCTTCCCTTCTAATCCTCATAAGCTCAAACCCGAGCAATAGCCACCGCCACCAATAGCAAAGGGATTGCTCCCCATTAACTGGTGCACAGATTCAAGTTTTAAGCGGTTTCCTTATAACAATTTCACTTTCTTTTGAGACCCTTTTCAAGGTTCTCTTTCATCTTTCCTTAAGGTACTTGTTTACTATCGGACTCTTTACAGTATTTG</t>
  </si>
  <si>
    <t>Fungi incertae sedis</t>
  </si>
  <si>
    <t>CCAGCTCACGTTCCCTATTAGCTTGGGTGAACAATCCGACATTTTGAGACTTCTGCGTCTCAATGATAGGAAAACCGACATCGAAGGATCAAAAAGCAACGTCGCTATGAACGCTTGGCTGCCACAAGCCAGTTATCCCTGTGGTAACTTTTCTGTCACCTCTAGCCAGAACCTTTCTGGACTTAAAGGATCAGGCCGTATTTTTTTTTTTTTTTTTTTTTTTTTTTTTTTTTTTTTTTTTTTTTTTTTTTTTTTTTTTTTTTTTTTTTTTTTTTTTTTTTTTTTTTTTTTTTTTTTTTTTTTTTTTTTTTTTTTTTTTTTTTTTTTTTTTTTTTTTTTTTTTTTTTTTTTTTTTTTTTTTTTTTTTTTTTTTTTTTTTTTTTTTTTTTTTTTTTTTTTTTTTTTTTTTTTTTTTTTTTTTTTTTTTTTTTTTTTTTTTTTTTCATGATTCACTGGAAATCAGAATCAAGCTGACTTTTCCCCTTTCAGTCTACGAGAGATTTCTGTTCTCTCTGAGTCAACCTTAGGGCATCTGCGTTGCAGTTTAGCAGATGTGCCGCCCAGCCAAACTCCCCATCTGAATATGTCCTCTGATACGATCGGTAAGAGAACCTTAAATCTAGAACACGTAAGAAAACGTGATTCGTTGTGACAGAGTAAGTAGAGCGACAGTGGAGGTCGTGGTATTTCACTGTCGCCAAAGCTCCCACGTATGCTACACCCCCAAGTCACTCCACAAAGTCAGACTAGAGTCAAGCTCAACAGGGTCTTCTTTCCCCGCTTATTTTGCCAAGCCCCGTTCCCTTGGCTGTGGTTTCGCTAGATGGCGGATGGGGACAACCGGTAAGATCTCGTTGATCCATTCATGCGCGTCACTAATTAAATGACGAGGCATTTGGCTACCTTAAGAAGGTCATAGTTACTCCCGCCGTTTACCCGCGCTTGGGCAAAATTTCATCGCAATGACATTCAGAGCACTGGGCAGAAATCACATTGCGTAAAAAGCGTTGCCGCTAATCGCAATGCTTGTTTTAATTAAACAGTCAGATTCCTCTTGTCCGTACCAGTTCTGAGTTAGCCGGTTAATGCCAACAGGATAGCCGAAGCTCCTAGCGTAGGCCACCGCTCGTTGCAACTCCCAAAGCGAGTAAACCCACTCCAAGAAAAGCGAGAACGATGAACTGTCACACAAACCCTGAAGCTCGGCCCTCAGGCCAATCCTTTTTCCAAGGTACAGATCTAATTTGCCGACTTCCCTCATCCGCCTTATTCTATCGACCAGAGGCTGCGAACCTAGGAGACCTGATGCGGTTTAGGGTACGGCTAGAAAGTGGAGTAAATATCCATGGGGTTTCAAAGGCCAATAGAAGCGCACCGGATTTCCAACAGGTGTAAACTATGTAACTTTTCATCCTTTTCTCCAGACAAGCCGATTCAAAGGAGTGGTGTTGTCAAAGAGCAAAGATAACGCTCCCCAGGGCTTCTCCTGGCAACCCAAGTTCAGTTGTGTTACCACAACCCCACCAACTAGTAAAGGAATTTGGGCCTTTTTCCCTTTCAGGTCAAGAGGCGAAGCCTCACTCTGAAGATAAGCTTTTCCTTTAGGGCCGACTAACCCGAGGACAATTGCTGTTCTCCCGGAACCCATATCCACTTCGGTCATCAAAGTTCTCATTTGATTAATTGCTACTACCACCAAGATCTTTTGAGGCTGCTCCAGCTAGTTTCTGAAACTAAGCCTTCTCAGCAACCCCACGCCCTCACACGTCAATGCTAATTTCGCATTGACGGTTTAATCATCGATGACCGCCCGCTTGAGCGCTATCCATTTTCAGGGCTGGTCCATTCGGCAGGTGATTTTATTACACACTCCTTAGCGGATTTCAACTTCCATGACCACCGCCCTGCTGTTTCAATGAACCAACACCTTTTATAGTGTCTGATCAACCAGTGTTGAGCGCCTTAACCAAACGTTAGGAGCATCCCTCATCGCCGCCAGTTCTGCTTACCAAAACTGGCCCACTAAGAAGTATCATTCATCTACCGAGCTAACTGAATTAGCAAGGTAGCAAACTACATTTAAAGTTTGAGAATAGGTCGAGGGCGGGATGCCCCCGAGGCCTCTGATCGATTCGCTTTACCGGATCTAACTGATCATTAACTTCCAGCTATCCTGAAACTTCGGAGACCAGCTGCTAGATGGTTCGATTAGTCTTTCGCCCCTATGCCCAAGTTTGACGAACGATTTGCACGTCAGTATCGCTGCGAGCTTCCACCAGGGTTTCCCCTGGCTTCACCCAACTCAGGTATAGGTCACCATCTTTCGGGTCTAAACGAAAATGCTCAGGCTCGAACTTCAAGAGTCGGCTGCTGTTGCATTGTAATTCCACAGCTTTTGCTTTCACTACGCGTCTGGGTTTGACACCCTTACACTCGCACTTTCGTTTAACTCCTTGGTCCGTGTTCCAAGACGGGTCGTCTGTACATGCCACTCTCGACAACTTGCAAAGGCGTACCACACTTCTCGATGTTAAGAACAAAGTTATAGCCGAAGCGACAACAAGTCATAACATACGGAAGTGATGTCGAGTAATGTAATGAGAGAAATCTCTGAAGCATTCAGATTCACGGACAGCGCTTCCCCGCTCAGCGATTTCAGGTATTTTTAACTCTCCTTTCGAAAGTGCTTTTCCAACTTTCCCTCACGGTACTTGTTTGCTATCGATCTCTCACCCGTTATCTAGCCGTGGATGGAGGTTACCACCCATTTTACGCTCTACTCTCCCAAAAGAGCGTGACTCATTAGATTAAAGCTGTACTTGAGAATGGCTGGAATAAGAACAGGGCTGTCACCTTCTCTGGCGTGCCTTTCCAGGCATCGGCTAACGCCCGCAGTTTCTCGAAATAAACCTATAACAACTCGATCACGCAACTCCGTCAGAAACGGATTAACATCGCGGGCTCTTCCCTTCGTTCGCCACTACTTTGCAGAGGAATCCTGATTGGTTTCTTTTCCTCCGCTTAATTATAGCCGGCCCAAATTCGGCAGGTGACGCCTAGCGAGCTCGGATCATGATTTGAAAGCCTACTGTAATTACCTCAACATTTCACTGTGAGTTCTTACAGGTAGCATCATTTAGCCAGTGACGTAAAGGACACTGTATGTCATCCATTCAATCGAAATTGATTGAAGTACCGCCGATACCGAGCCAAGCAAGCACTGCAGGCCGAGACCAGAAGTACCTTTGCGTTCCAGAATCTGGTGAATCACGAAATTTCGCAAGTCATACTGCTTATCGCGGTTTGCCGTCCTTCCTCAGTGTGAGAGTCGGTGTCCATGCTTCGAGTTTTAATTCTCATTATTCAATGATTTAAGTCATGTTATTAACATTAGTGCTTAGGTTGGTTGTTTAAACAGGAATGATCCATCCGCAGGTTCACCTACGGATACTTTAGTTCGACTTCTTCAGGTGCTGTCGATTCCGTTTGTAGTCGTCTG</t>
  </si>
  <si>
    <t>Gregarinasina</t>
  </si>
  <si>
    <t>KinetRC / iLSUr</t>
  </si>
  <si>
    <t>AGCTGTAGGTGAACCTGCAGAAGGATC</t>
  </si>
  <si>
    <t>Ga</t>
  </si>
  <si>
    <t>Gryllus assimilis</t>
  </si>
  <si>
    <t>&gt;consensus_cl_id_0_total_supporting_reads_6</t>
  </si>
  <si>
    <t>GTATCCGTAGGTGAACCTGCGGATGGATCATTCCTGTTTAAACAACAACCAACCTAAGCACTCAATGTTAATAACATGACTTAAATCATTGAATAATGAGAATTAAAAACTCTCAGCGATGGATGACTCGACTCTCACACCGAGGAAGGACGCAGCAAACCGCGATAAGCAGTATGACTTGCGAAATTTCGTGATTCACCAGATCTCTGAACGCAAAGGTACTTCTGGCCTCGGCCTGAAGTATGTTTGGCTCGGTATCGTATAGATTTCTCCAATCAATTTCGATTGAATGGATGACATACAGTGTCCTTTACGTCACTGGCTAAATGATGCTACCTGTAAGAACTCATACAGTGAAATGTTGAGGTAATTACAGTAGGCTTCTCAAATCATGATCCGAGCTCAAGCAAGGCTACCCGCTGAATTTAAGCATATAATTAAGCGGAGGAAAAGAAACCAACTGGGATTCCCGTAGTAGTGGCGAACGAAGTGGGAAGAGCCCGCGATGTTAATCCGTTTCTGACGGAGTTGTGCATCGAGGTTATAGCTATTGAGAAACTGGGAAGAAGATGCCTGGAAAGGCACGCCAGAGAAGGTGACAGCCCTGTTCTTATTCCAGCCATTCTCAAGTACAGCTTTAATCTAATGAGTCACGCTCTTTGGGAGTAGAGCGCAAAATGGGTGGTAACCTCCATCCACGGCTAGATAACGGTGAGAGATCGATAGCAAACAAGTACCGTGAGGGAAAGTTGAAAAGCACTTCGAAAGGAGAGTTAAAATACCTGAAATCGCTGAGGGGGAAGCGGCTGTCCGTGACCCAATGTTTGAGAGATTTCTCTCATTACATTACTCGACATCACTTCCGTATGTTATGACTTGTTGTCGCTTCGGCTATAACTTTGTTCTTAACATCGAGAAGTGTGGTACGCCTTTGCAAGTTGTCGAGAGTGGCATGTACAGACGACCGTCTTGAAACACGGACCAAGGAGTTAAACGAAAGTGCGAGTGTAAGGGTGTCAAACCCAGACGCGTAGTGAAAGCAAAAGCTGTGAATTACAATGCAACAGCAGCCGACTCTTGAAGTTCGAGCCTGAGCATTTTCGTTTAGACCCGAAAGATGGTGACCTATACCTGAGTTGGGTGAAGCCAGGGGAAACCCTGGTGGAAGCTCGTAGCGATACTGACGTGCAAATCGTTCGTCAAACTTGGGCATAGGGGCGAAAGACTAATCGAACCATCTAGTAGCTGGTTCCCTCCGAAGTTTCCCTCAGGATAGCTGGAAGTTAATGATCAGTTAGATCCGGTAAAGCGAATGATTAGAGGCCTCGGGGGCATCCCGCCCTCGACCTATTCTCAAACTTTAAATGGGTTTGCTACCTTGCTAATTCAGTTAGCTCGGTAGATGAATGATACTTCTTAGTGGGCCAGTTTTGGTAAGCAGAACTGGCGATGAGGGATGCTCCTAACGTTTGGTTAAGGCGCTCAACACTCGCTGATCAGACACCATAAAAGGTGTTGGTTCATTGAAACAGCAGGGCGGTGGTCATGGAAGTTGAAATCCGCTAAGGAGTGTGTAATAACTCACCTGCCGAATGGACCAGCCCTGAAAATGGATAGCGCTCAAGCGGGCGGCCGATACCAAACCGTCAATGAAATTAGCATTGACGTGTAGGAGGGCGTGGGGGTTGTGAGAAGGCTTAGTTGTGAAACTAGCTGGAGCAGCCTCTAGTGCAGATCTTGGTGGTAGTAGCAATTAATCAAATGAGAACTTTGATGACCGAAGTGGATAAGGGTTCCGGGGAGAACAGCAATTGTCCTCGGGTTAGTCGGCCCTAAAGGAAAAGCTTACTCTTCAGAGTGAGGCTTCGCCTCTTGACCTGAAAGGGAAAAAGGCCCAAATTCCTTTACTAGTTGGTGGGGTTGTGGTAACACAACTGAACTTGGGTTGCCAGGAGAAGCCCTGGGAGCGTTATCTTTGCTCTTTGACAACACCACTCCTTTGAATCGGCTTGTCTGGAGAAAAGGATGAAAAGTTGGCATAGTTTCTTACACCTGTTGGAAATCCGGTGCGCTTCTATTGGCCTTTGAAACCCCAAGGGATATTTACTCCACTTTCTAGCCGTACCCTAAACCGCATCAGGTCTCCTAGGTTCGCAGCCTCTGGTCGATAGAATAAGGCGGATGAGGGAAGTCGGCAAATTAGATCTGTACCTTTGGAAAAAGGATTGGCTCTGAGGGCCGAGCTTTCAGGGCCTAGTGACAGTTCATCGTTCTCGCTTTTCTTGGAGTGGGTTTACTCGCTTTGGGAGTTGCAACGAGCGGTGGCCTACGCTAGGAGCTTCGGCTATCCTGTTGGCATTAACCGGCTAACTCAGAACTGGTACGGACAAGAGGAATCTGACTGTTTAATTAAAACAAAGCATTGCGACAAGCGGCAACGCTTTTTACGCAATGTGATTTCTGCCCAGTGCTCTGAATGTCATTGCGATGAAATTCGCCCAAGCGCGGGTAAACGGCGGGAGTAACTATGACTCTCTTAAGGTAGCCAAATGCCTCGTCATTTAATTAGTGACGCGCATGAATGGATCAACGAGATTCCTACTGTCCCCATCCGCCATCTAGCGAAACCACAGCCAAGGGAACGGGCTTGGCAAAATAAGCGGGGAAAGAAGACCCTGTTGAGCTTGACTCTAGTCTGACTTTGTGGAGTGACTTGGGGGTGTAGCATACGGGAGCTTTGGCGACAGTGAAATACCACGACCTCCACTGTCGCTCTACTTACTCTGTCACAACGAATCACGTTTTCTTACGTGTTCTAGATTTAAGGTTCTCTTACCGATCGTATCAGAGGACATATTCAGATGGGGAGTTTGGCTGGGGCGGCACATCTGCTAAACTGCAACGCAGATGCCCTAAGGTTGACTCAGAGAGAACAGAAATCTCTCGTAGACTGAAAGGGGAAAAAGTCAGCTTGATTCTGATTTCCAGTGCGAATACGAACTGCGAAAGCATGGCCTATCGATCCTTTAAGTCCAGAAAGGTTCTGCTAGAGGTGACAGAAAAGTTACCACAGGGATAACTGGCTTGTGGCAGCCAAGCGTTCATAGCGACGTTGCTTTTTGATCCTTCGATGTCGGCTCTTCCTATCATTGAGACGCAGAAGTCTCAAAATGTCGGATTGTTCACCCGCTAATAGGGAACGTGAGCTGGGTTTAGACCGTCGTGAGACAGGTAGGTGCTGTTCGGATTCTATCGTGTTTCCTATTAACACACACACACACACACACACACACACACACACACACACACACACACACACACACAAATGGGTCAATACCAAGAAATGG</t>
  </si>
  <si>
    <t>No</t>
  </si>
  <si>
    <t>UnonMet Pb</t>
  </si>
  <si>
    <t>UnonMet</t>
  </si>
  <si>
    <t>CGGTAAYTCCAGCTCYV</t>
  </si>
  <si>
    <t>CTTTAARTTTCASYCTTGCG</t>
  </si>
  <si>
    <t>&gt;consensus_cl_id_3_total_supporting_reads_17</t>
  </si>
  <si>
    <t>ACCATACTCCCCCAGAACCCAAAAACTTTGATTTCTCACAAGGTGCTGAGCCTGATCAGATCAGGCCCAATCCCTAGTTGGCATAGTTTATGGTTGAGACTACGACGGTATCTAATCATCTTCGATCCCCCAACTTTCGTCCTTGATCAATGGGTTTGTCCTTGACAAATGCTTTCGCAGAAGTTAGTCTTTCATAAATCCAAGAATTTCACCTCTGACTATTAAATACTAATGTCCCCAACCAAACCTATTCATCATTTCTTTAGTTTTATAAACCAACAAAATAAAACCATAGTCCTATTTTATTATTCCATGCTAATGTATTCGGCTTAAAAAGCCCGCTTTGAACACTCTAATTTTTTCAAAGTAATCATTCCTGGCCCACCAAAAGGAAATGACCTATCTACACCAGTAAAGTTGCAAATAGGCCCAAAGACCAGGAATTTAAAATGAGGGTCTAAAAGAAAAGAGGAATACTAACAAAAGCCAGCACCCCTCTTAACCTTCCTACCCTCAAAAATTCGACTACGGGCGTTTTAACTGCAACAACTTTAATATACGCTATTGGAGCTGGAATTACCGAGCAATAAAGTTGTCGGTGTCTTTGTGTT</t>
  </si>
  <si>
    <t>Pandora nouryi</t>
  </si>
  <si>
    <t>AACACAAAGACACCGACAACTTTATTGCTCGGTAATTCCAGCTCCAATAGCGTATATTAAAGTTGTTGCAGTTAAAACGCCCGTAGTCGAATTTTTGAGGGTAGGAAGGTTAAGAGGGGTGCTGGCTTTTGTTAGTATTCCTCTTTTCTTTTAGACCCTCATTTTAAATTCCTGGTCTTTGGGCCTATTTGCAACTTTACTGGTGTAGATAGGTCATTTCCTTTTGGTGGGCCAGGAATGATTACTTTGAAAAAATTAGAGTGTTCAAAGCGGGCTTTTTAAGCCGAATACATTAGCATGGAATAATAAAATAGGACTATGGTTTTATTTTGTTGGTTTATAAAACTAAAGAAATGATGAATAGGTTTGGTTGGGGACATTAGTATTTAATAGTCAGAGGTGAAATTCTTGGATTTATGAAAGACTAACTTCTGCGAAAGCATTTGTCAAGGACAAACCCATTGATCAAGGACGAAAGTTGGGGGATCGAAGATGATTAGATACCGTCGTAGTCTCAACCATAAACTATGCCAACTAGGGATTGGGCCTGATCTGATCAGGCTCAGCACCTTGTGAGAAATCAAAGTTTTTGGGTTCTGGGGGAGTATGGT</t>
  </si>
  <si>
    <t>Gm</t>
  </si>
  <si>
    <t>Galleria mellonella</t>
  </si>
  <si>
    <t>CCGCACGCGCGCTACACTGACGGAGCCAACGAGTATTAACCTTGGCCGGAGAGGTCTAAAACGTGAAACTCCGTCGTGCTGGGGATAGAGCATTGTAATTATTGCTCTTCTCAAATGAGGAATTCCTTAGTAAGCGCAAGTCATCAGCTTGCGTTGATTACGTCCCTGTCTCTTGTACACACCGCTGCCCGTCGCTACTACCGATTGAATGGCTTTAGTGAGGCCTCCGGATTGGTTTAAAGAAGGGGGCAACTCCATCTTGAACCGAAAAGCTGGTCAAACTTGGTCATTTAGAGGAAGTAAAAGTCGTAACAAGGTTTCCGTAGGTGAAATCCTGCGGAAGGATCATTACAGTATTCTTTTGCCAGCGCTTAACTGCGCGGCGAAAAAACCTGCGACACAGCAAGTTTCTTGTTATTACAAGAACTTTGCTTTGGTCTGGGACTAGAAATAGTTTGGGCCAGAGGTTTATCGAACTAAACTTCAATATTTATATTGAATTGTTATTTATTTAATTGTCAATTTGTTGGATTAAATTCAAAAAATCTTCAAAACTTTCAACAACGGATCTCTTGGTTCTCGCATCGATGAAGAACGCAGCGAAATGCGATAAGTAATATGAATTGCAGATTTCTAGAATCATCGAATCTTTGAATGCGATACGGCGCCCTCTGGTATTCCAGAGGGCATGCCTGTTTGAGCGTCATTTCAAACTCCTTTGGGTTTGGTATTGAGCATACTAGTCGAACTAGGTTTGCTTGAAATGTACAATAGAGCGGTACTGGATAGTGCTATATGACTTCTTCAATGTAATAGGTTTATCCAACTCGTTGAATAGTTTAATGGTATATTTCTCGGATGAAAGGCTCGGCTCATAATATAACAAACAAGTTTGACCTCAAATCAGGTAGATTACCCGCTGAACTTAAGCATATCAAGCGGAGGAAAAGAAAACCAACAGGGATTGCCTAGTAACGGCGAGTAGTTAGGCAAAAGCTCAAATTTGAAATCTGCACCTTCTGGCATCCGAGTTGTGAATTTTGAAGAAGGTAACTTTTGGAGCTGGGTTTCTGTCTATGTTCCTTGAACAGACGTCACAGAGGGTGAGAATCCCGCGATGAGATGCCCAATTCTATAAAGTGCTGAAGAGCTCGAGTTGTTTGGGAATGCAGCCTTTAAGTGGGTGGTAAATTCATCTAAAAGCTAAATATTGGCGAGAGACCGATAGCGAACAAGTACATATTATCAGCGACGAAACAACTGAACGGAGAGTGAAAAAGTACGAAATTGTTGAAAGGGAAGGGCTTCAGATCAGACTTGGTATTTTACAGATCCTTTCCTTCTTAAGGTTCCTCGCGTTTTCATCAGCCAGCATCGGTTTGGATGCATAGGATAATGACTTATGAATGTACTCTACTTCGTGGAGTGTTATAGCCTTGATGATACTGCTCCGTCTAGACCGAGGACTGCGTCTTTTGACTAGACAAGCGCATAATATCTTTGCCACCCGTCTTGCGAAACACGGACCAAGGAGTCTAACGTCTATGCGAGTGTTTGGGGTGTAAAACCCAGCCGCGTAATGAAAGTGAACGAAGAGAGCCTAAGAGTGCATCATCGACCGATCCCACGGTCTTCGGATGGATTGAGTAAGAGCATAGCTGTTGGGACCCGAAAGATGGTGAACTATGCCTGAATAGGGGTGGGCCAGAGGAAACTCTTGGTGGAGGCTCGTAGCGGTTCTGACGCAAATCGATCACGTCGAATTTGGGTAGGGCGAAAGACTAATCGAACCATCTAAGTAGCTGGTTCCTGCCGGTTTCCCTGTGATAAGCAGAAGCTCGTATCAGTTTTATGAGGTAAAGCGAATGATTAGAGGTATTGGGGGTTGAAATGACCTTAACCTATTCTCAAACTTTAACATGCAAGAAGTCCTTGTTGCTTAATTGAACGTGGACATTTGAATGAAGAGCTTTTAGTGGGCCATTTTGGTAAGCAGAACTGGCGATGCGGATGAACCGGCGTGAAGTTAAAGTGCCGGAATACACGCTCATCAGACACCACAAAAGGTGTTAGTTCATCTAGACAGACGGTGGCCATGGAAGTCGGAAGGTCCGCTAAGGAGTGTGTATCAACTCACCGGCCGAATGAACTAGCCCTGAAAATGGATGGCGCTCAAGCGTTACTTATACTTCACCGTCAGGGTTGATATGATGCCCTGACGAGTAGGCAGCGGAGGTCAGTGACGAAGCCTTGGCTGTAAAGCTGGGTAGAACGGCCTCTAGTGCAGATCTTGGTGGTAGTAGCAAATATTCAAATGAGAACTTTGAAGACTGAAGTGGGGAAAGGTTCCATGTCAACAGCAGTTGGACATGGGTTAGTCGATCCTAAGAGATGGGGAAGCTCCGTTTCAAAGAACTTGATTTTTCAAGTCACTATCGAAAGGGAATCCGGTTAAAATTCCGGAACTTGGATATGGATTCTTCACGGTAACGTGAATGTGGAGACGTCGGCGAGCTCCTGGGAGGAGTTCTCTTTTCTTCTTAACAGCTTATCACCCTGGAATTATTTATCCGGAGATAGGGTCTTATGGCTGGTGAGGCAATACTTTTGTTGCATCCGGGTGCGCTTACGACGGTCCCTTTTGAAATCCACAGGAAGGAATAGTTTTCATGCCAAGTCGTACTCATAACCGCAGCAGGTCTCCAAGGTTAACAGCCTCGCCGATAGACACGGTGATAAGGGAAGTCGGCAAAATAGATCCGGGTGGAATCTTCGGGATAAGGATTGGCTCTAAGGATCGGGTGTTCGGCCTTTACCAGACGCAGCGGAACTGATGGTGGACCGTTCAGGAGCAATCTTGGACGGACCGCCGTCGGATCTTGTTGTAGACGGTTTTGGTAGACTTTTAGTCGTCCGGGGCACGCTTAACGATCAACTGGTAGAACTGGTACGGACAAGGGGAATTCGACTGTCTAATTAAAACATAGCATTGCGATGGTCAGAAAGTGATGTTGACGCAATGTGATTTCTGCCCAGTGCTCTTAATGTCAAAGAAGAAATTCAACCAAGCGCGGTAAACGGCGGAGCACCATGACTCTCTTAAGGTAGCCAAATGCCTCGTCATCTAATTAGTGACGCGCATGAATGGATTAACGAGATTCCCACTGTCCTATCTACTATCTATTGGAAACACAGCCAAGGAACGGGCTTGGCAGAATCGAAGCGGGGAAAGAAGACCCTGTTGAGCTGACTCGGTTTGACATTGTGAAAAGACATAGTGGGTGTAGAATAAGTGGAGCTTCGGCGCCGGTGAAATACCACTACCTCTATAGTTTTTTTACTTATTCAATTAAGCGGAGCTGACTTCATCGTCTGTTCTAGCATTAAAGTCTCTTTAGAGGCTGATCCGGGTTGAAGACATTGTCAGGTGGGGAGTTTGGCTGGGGCGGCACATCTGTTAAACGATAACGGTAGTCCTAAGGGGGCTCATGGAGAACAGAAATCACCAGTAGAACAAAAGGGTAAAAGCCCCCTTGATTTTTACTTTCAGTGTGAATACAAACCATGAAAGTGCGGGCCTACTCTATCCTTTAGATCCTCGAATTTGAGGCTAGAGGTGCCAGAAAAGTTACCACAGGGATAACCGGCTTTGGTGGCAGTCAAGCGTTCATAGCGACATTGCTTTGATTCTTCGATGTCGGTTTTCCTATCATACCGAAGCAGAATTCGGTAAGCGTTGGATTGTTCAAATTCACTCAATAGGGGAACGTGAGCTGGGTTTAGACTGTCGTGAGACAGGTCCAAGACGGGCTCAAGGGCATCACAGACCTGTTATTGCTCAATCTCGTGCGGCTCGAAGCCGCCGGTCCCTCTAAGAAGAATTTTATCACGTCGCTGTAGTGAGTTGCGCGACACGGATGCCGCGCACACCTAAATGGCGACGCCTATTTAGCAGGCTAGAGTCTCGTTCGTTACCGAATTAACCAGACAAATCGCTCCACCAACTAAGAACGGCCATGCACCACCACCCACCGAATCAAGAAAGAGCTGTTATCTGTCAATCCTTCCGGTGTCCGGGCCTGGTGAGATTTCCTGTGTTGAGTCAAATTAAGCCGCAGGCTCCACTCCTGCAGCTCCTTCCGTCAATTCAGGTGTTGGAGTCTTGTGTCCCAGTTGCCAGGTTAACCTTAGCAATACGTAACTGAACGAAGTA</t>
  </si>
  <si>
    <t>Debaryomyces hansenii</t>
  </si>
  <si>
    <t>Fungi</t>
  </si>
  <si>
    <t>&gt;consensus_cl_id_0_total_supporting_reads_2</t>
  </si>
  <si>
    <t>CCAGCTCACGTTCCTATTAGCGGGGTGAGCAATCCGACATTTTGAGACTTCCTCCGTCTCAATGATAGGAAGAGCCGACATCGAAGGATCAAAAAACAACGTCGCTATGAACGCTTGGCTGCCACAAGCCAGTTATCCCTGTGGTGCTTTTCTGTCACCTCTAGCCAGAACCTTTCTGGACTTAAAGGATCGATGGCTATGCTTTCGCAGTTCGTATTCGCACTGGAAATCAGAATCAAGCTGACTTTTCCCCTTTCAGTCTACGAGAGATTTCTGTTCTCTCTGGAGGTCAACCTTAGGGCATCTGCGTTGCAGTTTAGCAGATGTGCCGCCCCAGCCAAACTCCCCATCTGAATATGTCCTCTGATACGATCGGTAAGAGAACCTTAAATCTAGAACACGTAAGAAAACGTGATTCGTTGTGACAAGTAAGTAGAGCGACAGTGGAGGTCGTGGTATTTCACTGTCGCCAAAGCTCCCACGTATGCTACACCCCCAAGTCACTCCACAAAGTCAGACTAGAGTCAAGCTCAACAGGGTCTTCTTTCCCCGCTTATTTTGCCAAGCCCGTTCCCTTGGCTGTGGTTTCGTTAGATGGCGGATGGGGACAGTAGGAATCTCGTTGATCCATTCATGCGCGTCACTAATTAAATGACGAGGCATTTGGCTACCTTAAGGAGTCGTAGTTACTCCCCGCCGTTTACCCGCGCTTGGGCGAATTTCATCGCAATGACGTTCAGACACTGGGCGAATCACATTGCGTAAAGCGTTGCCGCTTGTCGCAATGCTGTTTAATTAAACAGTCAGATTCCTCTTGTCCGTACCAGTTCTGAGTTAGCCGGTTAATGCCAACAGGATAGCCGAAGCTCTAGCGTAGGCCACCGCTCGTTGCAACTCCCAAAGCGGTAAACCCACTCCAAGAAAGCGAGAACGATGAACTGTCACTAGGCCCTGAAAGCTCGGCCCTCAGAGCCAATCCTTTTTCCAAAGGTCAGATCTAATTTGCCGACTTCCCTCATCCGCCTTATTCTATCGACCAGAGGCTGCGAACCTAGGAGCTTGATGCGGTTGGGTACGGCTAGAAGTGGAGTAAATATCCCTTGGGGTTTCAAAGGCCAATAGAAGCGCACCGGATTTCCAACAGGTGTAGAAACTATACCAACTTTTCATCCTTTTCTCCAGACAAGCCGATTCAAAGTGGTGTTGTCAAAGAGCAAAGATAACGCTCCCCAGGGCTTCTCCTGGCAACCCAAGTTCGGTTGTGTTACCACAACCCCACCAACTAGTAAAGGAATTTGGGCCTTTTTCCTTTCAGGTCAAGAGGCGAAGCCTCCTCTGAGGTAAGCTTTTCCTTTGGGCCGACTAACCGGAGGACAATTGCTGTTCTCCCGGAACCCTTATCACTTCGGTCATCAAAGTTCTCATTTGATTAATTGCTACTACCACCAAGATCTGCACTAGAGGCTGCTCCAGCTAGTTTCACAACTAAGCCTTCTCAGCAGCCTCGCCCTCCTACACGTCAATGCTAATTTCATTGACGGTTTGGTATCGGCCGCCCGCTTGAGCGCTATCCATTTTCAGGGCTGGTCCATTCGGCAGGTGAGTTATTCACACTCCTTAGCGGATTTCAACTTCCATGACCACCGCCCTGCTGTTTCAATGAACCAACACCTTTTATGGTGTCTGATCAGCGAGTGTTGAGCGCCTTAACCAAACGTTGGGAGCATCCCTCATCGCCAGTTCTGCTTGCACAACGGCCACTAAGAAGTATCATTCATCTACCGAGCTAACTGAATTAGCAAGGTAGCAAACCCATTAAAGTTTGAGAATAGGTCGGCGGGATGCCCCCGAGGCCTCTAATCATTCGCTTTACCGGATCTAACTGATCATTAACTTCCAGCTATCCTGGGGAAACTTCGGAGGGAACCAGCTACTAGATGGTTCGATTAGTCTTTCGCCCTATGCCCAGTTTGACGAGCGATTTGCGTCGGTATCTTTACGAGCTTCCGCAGGGTTTCCCCTGGCTTCACCCAACTGGTGTAGGTCACCATCTACGGGTCTAAACGAAAATGCTCAGGCTCGAACTTCAGAGTCGGCTGCTGTTGCATTGTAATTCACAGCTTTTGCTTTCACTACGCGTCTGGGTTTGACGCACCCACTCGCACTTTCGTTACACTCGTCGGTCCGTGTTTCAAGACGGGTCGTCTGTACATGCCACTCTCGACAACTTGCAAAGGCGTGCCACACTTTCTCGATGTTAAGAACAAAGTTATAGCCGAAGCGACAACAAGTCATAACATACGGAAGTGATGTCGAGTAATGTAATGAGAGAAATCCTCGAGCATTAGGTCACGGACAGCCGCTTCCCCCTCGGCGATTTCAGGTATTTTAACTCTCCTTTCGAAGTGCTTTTCAACTTTCCCTCACGGTACTTGTTTGCTATCGATCTCTCACCGTTATCTAGCCGTGGATGGAGGTTACCACCCATTTTGCGCTCTACTCCCAAAGAGCGTGACTCATTAGATTAAAGCTGTACTTGAGAATGGCTGGAATAAGAACAGGGCTGTCACCTTCTCTGGCGTGCCTTTCCAGGCATCTTCTTCCAGGTTCTTAATAGCTATAACCTCCATGCCGACTCCGTCGAAACGGATTAACATCCATATCTCTTCGTCGCCACTCCTACGGGAATCCCAGTTGGTTTCTTTTCCTCCGCTTAATTACTCTTAAATTCAGCGGGTAGCCTTCTTGAGCTCGGATCATGATTTGAGAAGCCTGCGTAATTACCTCAACATTTCACTGTATGAGTTCTTACAGGTAGCATCATTTAGCCAGTGACGTAAAGGCACTGTATGTCATCCATTCAATCAGTGGATTGGAGAAATCTGTAGATAGCGAGCCAAACGTGCTTCGGTGAGGCCAGAAGTACCTTTGCGTTCAGAGATCTGGTGAATCACGAAATTTCGCAAGTCATGCACTTTATCGCGGTTTCTGCGTCCTTCCTCGGTGTGAGGAGTCGAGTCATCCATGCTGAGGTTTTAATTCTCATTATTCAATGATTTAAGTCATGTTATTAACATTGAGTGCTTGGGTTGGTTGTTGTTTAAACAGGAATGATCCATCCGCAGGTTCCTACGGATACCGTGTTACGACTTCTTGTCCTCCTGATAAGGCTCACAACATTTCCTCACGAAGAGCGATGTAGAACAAAGCAGCTACGTAAGTCCATGTATTTGCGGATCATCCAATCGGTTGAAGCGACGGGCGGTGTGTACAAAGGGCGGGGACGTAATCAGCACAAGGTGATGACTTGTCTTACTAGGAATTCCTCGTTCATGACCCATAATTGCAAGGTCAATCCCTATCACGACGGAGTTTCACAAGATTTCCCGCTCCGTACGGGTAGGGTAAAACTCGCTGACTCGTCATTGTAGCGCACGTGCAGCCCAGGCATCTAAGGGCATCACAGACCTGTTATAGGCTCGAACTTCCTTGTGATAGTCTCACAAAGTCCCTCTGAGCCCAATCGCTCGAGTAAACGAAGGCTAGTTAGTGGGTCGAGGTCTCGTCCGTTATCGGAATTAACCAGACAAGTCACCTCAGCGACTAAGAACGGCCATGCACCACCACCTGGGATCGAGAAAGAACTCTCAATCTGTCAATCATGACTATGTCCGGGCCTGGTAGGTTCCCCGCGTTGAGTCAAATTAAGCCGCAGGCTCCACTCCTGGTGGTGCCCTTCCGTCTTCGCTTTAAGTTTCAGCCTTGCGTCTATACTCCCCCCCAGGGCCCAGAGACTTAGATTTCTCTTGGAGTGCCCGAGGAGTCATGTTGTACAGCCTCCGATCCTCAGTCGGCATGTTTAGTTCTGGGGACTTCGGCGGTATCTAGCGCTTCGATCCCCCAACTTTCGTCCTTGATTAACAGGCACGCACTTTGGGCAATGCTTTCGCACTTGTTTGTCTTTGCTGGGTCTTAAATTTACCTCTCTCAGCCGTGCAGATGCCCCCGTATGTCCATATCAACCGTTACTTGTGTTCCACGTCACCAGCAAGGAGGATCACAGTCCTATATTGTTATTCCATGCTGAGCTGTTTAGCTATGGTACGGTTGGGCACTCCAATTTGCTCAAAGTAACAGAGCGGTACAGCCGAAGCTGTCCCACCCGAGTCCGAAACAGAAAGTGCACTGACTAACACGAAGTCAGACAGGCGTCTCTCCGATTTGGACGAAATCCACTTCGGACGCTTTACCTTCGCAATTTTAATATACGCTATTGGGCTACAATTACCGCGGCTGCTGGCACCTGACTTGCCCTCCAATAGGTATTCGCAAATCGTTTTGCTTGCTCCTTGCAATCACAGAACCGAAGGTCCTGAGTTGCTATTTCTGGTACTACCTCCCCGTATCGGGATTGGGTAATTTGCGCGCCTGCCGTGTCCTTAGATGTGGTAGCCGTCTCTCAGGCTCCCCTCTCCGGAATCGAACCTAATTCCCCGTTACCCGTCACAGCCTCGGTAGGCCAATACCCTACCGACGGGAGCTGATAGGTCAGAAACTCGAACGAACTGTCGCGTGATGCGATCCGCTCGGTCATTATGATCACCAAGAACAGGTATCTACCTGGATGGTTCCAATGCTAATGAATGCCACCCTTCACGAAGTCGGGTGTTTTTGCATGTATTAGCTCCAGATTACCATGGATATCCATTTGGTAATGATCTTCGTGCTGATTACGACTGTTGTAATGAGCTATTCGCAGTTTTGCCGTATAAAAGCTTATACTTAGACTTGCATGGCTTAATCTTTGAAACAAGCATATGACTACTGGCAGCCAAGATGTCTAAGGGCATCACACCGAATATGGTAATTAATTATCGGGCCAGCGGTGATGATAACCAGGAAAGTTCCTTCTTGTAACGGTCAACTTCATTTGTAAATATTGTATATAGTATTATGGTGTCGAAGTATTTTTATTTTTAATAAATACTAAATATTTACAAGCCTTCACGTCTGTAATTCTGCCCGGCAAAGACGCCACACTTTAAACTAGGAGTGTGC</t>
  </si>
  <si>
    <t>GCACACTCCTAGTTTAAAGTGTGGCGTCTTTGCCGGGCAGAATTACAGACGTGAAGGCTTGTAAATATTTAGTATTTATTAAAAATAAAAATACTTCGACACCATAATACTATATACAATATTTACAAATGAAGTTGACCGTTACAAGAAGGAACTTTCCTGGTTATCATCACCGCTGGCCCGATAATTAATTACCATATTCGGTGTGATGCCCTTAGACATCTTGGCTGCCAGTAGTCATATGCTTGTTTCAAAGATTAAGCCATGCAAGTCTAAGTATAAGCTTTTATACGGCAAAACTGCGAATAGCTCATTACAACAGTCGTAATCAGCACGAAGATCATTACCAAATGGATATCCATGGTAATCTGGAGCTAATACATGCAAAAACACCCGACTTCGTGAAGGGTGGCATTCATTAGCATTGGAACCATCCAGGTAGATACCTGTTCTTGGTGATCATAATGACCGAGCGGATCGCATCACGCGACAGTTCGTTCGAGTTTCTGACCTATCAGCTCCCGTCGGTAGGGTATTGGCCTACCGAGGCTGTGACGGGTAACGGGGAATTAGGTTCGATTCCGGAGAGGGGAGCCTGAGAGACGGCTACCACATCTAAGGACACGGCAGGCGCGCAAATTACCCAATCCCGATACGGGGAGGTAGTACCAGAAATAGCAACTCAGGACCTTCGGTTCTGTGATTGCAAGGAGCAAGCAAAACGATTTGCGAATACCTATTGGAGGGCAAGTCAGGTGCCAGCAGCCGCGGTAATTGTAGCCCAATAGCGTATATTAAAATTGCGAAGGTAAAGCGTCCGAAGTGGATTTCGTCCAAATCGGAGAGACGCCTGTCTGACTTCGTGTTAGTCAGTGCACTTTCTGTTTCGGACTCGGGTGGGACAGCTTCGGCTGTACCGCTCTGTTACTTTGAGCAAATTGGAGTGCCCAACCGTACCATAGCTAAACAGCTCAGCATGGAATAACAATATAGGACTGTGATCCTCCTTGCTGGTGACGTGGAACACAAGTAACGGTTGATATGGACATACGGGGGCATCTGCACGGCTGAGAGAGGTAAATTTAAGACCCAGCAAAGACAAACAAGTGCGAAAGCATTGCCCAAAGTGCGTGCCTGTTAATCAAGGACGAAAGTTGGGGGATCGAAGCGCTAGATACCGCCGAAGTCCCCAGAACTAAACATGCCGACTGAGGATCGGAGGCTGTACAACATGACTCCTCGGGCACTCCAAGAGAAATCTAAGTCTCTGGGCCCTGGGGGGGAGTATAGACGCAAGGCTGAAACTTAAAGCGAAGACGGAAGGGCACCACCAGGAGTGGAGCCTGCGGCTTAATTTGACTCAACGCGGGGAACCTACCAGGCCCGGACATAGTCATGATTGACAGATTGAGAGTTCTTTCTCGATCCCAGGTGGTGGTGCATGGCCGTTCTTAGTCGCTGAGGTGACTTGTCTGGTTAATTCCGATAACGGACGAGACCTCGACCCACTAACTAGCCTTCGTTTACTCGAGCGATTGGGCTCAGAGGGACTTTGTGAGACTATCACAAGGAAGTTCGAGCCTATAACAGGTCTGTGATGCCCTTAGATGCCTGGGCTGCACGTGCGCTACAATGACGAGTCAGCGAGTTTTACCCTACCCGTACGGAGCGGGAAATCTTGTGAAACTCCGTCGTGATAGGGATTGACCTTGCAATTATGGGTCATGAACGAGGAATTCCTAGTAAGACAAGTCATCACCTTGTGCTGATTACGTCCCCGCCCTTTGTACACACCGCCCGTCGCTTCAACCGATTGGATGATCCGCAAATACATGGACTTACGTAGCTGCTTTGTTCTACATCGCTCTTCGTGAGGAAATGTTGTGAGCCTTATCAGGAGGACAAGAAGTCGTAACACGGTATCCGTAGGAACCTGCGGATGGATCATTCCTGTTTAAACAACAACCAACCCAAGCACTCAATGTTAATAACATGACTTAAATCATTGAATAATGAGAATTAAAACCTCAGCATGGATGACTCGACTCCTCACACCGAGGAAGGACGCAGAAACCGCGATAAAGTGCATGACTTGCGAAATTTCGTGATTCACCAGATCTCTGAACGCAAAGGTACTTCTGGCCTCACCGAAGCACGTTTGGCTCGCTATCTACAGATTTCTCCAATCCACTGATTGAATGGATGACATACAGTGCCTTTACGTCACTGGCTAAATGATGCTACCTGTAAGAACTCATACAGTGAAATGTTGAGGTAATTACGCAGGCTTCTCAAATCATGATCCGAGCTCAAGAAGGCTACCCGCTGAATTTAAGAGTAATTAAGCGGAGGAAAAGAAACCAACTGGGATTCCCGTAGGAGTGGCGACGAAGAGATATGGATGTTAATCCGTTTCGACGGAGTCGGCATGGAGGTTATAGCTATTAAGAACCTGGAAGAAGATGCCTGGAAAGGCACGCCAGAGAAGGTGACAGCCCTGTTCTTATTCCAGCCATTCTCAAGTACAGCTTTAATCTAATGAGTCACGCTCTTTGGGAGTAGAGCGCAAAATGGGTGGTAACCTCCATCCACGGCTAGATAACGGTGAGAGATCGATAGCAAACAAGTACCGTGAGGGAAAGTTGAAAAGCACTTCGAAAGGAGAGTTAAAATACCTGAAATCGCCGAGGGGGAAGCGGCTGTCCGTGACCTAATGCTCGAGGATTTCTCTCATTACATTACTCGACATCACTTCCGTATGTTATGACTTGTTGTCGCTTCGGCTATAACTTTGTTCTTAACATCGAGAAAGTGTGGCACGCCTTTGCAAGTTGTCGAGAGTGGCATGTACAGACGACCCGTCTTGAAACACGGACCGACGAGTGTAACGAAAGTGCGAGTGGGTGCGTCAAACCCAGACGCGTAGTGAAAGCAAAAGCTGTGAATTACAATGCAACAGCAGCCGACTCTGAAGTTCGAGCCTGAGCATTTTCGTTTAGACCCGTAGATGGTGACCTACACCAGTTGGGTGAAGCCAGGGGAAACCCTGCGGAAGCTCGTAAAGATACCGACGCAAATCGCTCGTCAAACTGGGCATAGGGCGAAAGACTAATCGAACCATCTAGTAGCTGGTTCCCTCCGAAGTTTCCCCAGGATAGCTGGAAGTTAATGATCAGTTAGATCCGGTAAAGCGAATGATTAGAGGCCTCGGGGGCATCCCGCCGACCTATTCTCAAACTTTAATGGGTTTGCTACCTTGCTAATTCAGTTAGCTCGGTAGATGAATGATACTTCTTAGTGGCCGTTGTGCAAGCAGAACTGGCGATGAGGGATGCTCCCAACGTTTGGTTAAGGCGCTCAACACTCGCTGATCAGACACCATAAAAGGTGTTGGTTCATTGAAACAGCAGGGCGGTGGTCATGGAAGTTGAAATCCGCTAAGGAGTGTGAATAACTCACCTGCCGAATGGACCAGCCCTGAAAATGGATAGCGCTCAAGCGGGCGGCCGATACCAAACCGTCAATGAAATTAGCATTGACGTGTAGGAGGGCGAGGCTGCTGAGAAGGCTTAGTTGTGAAACTAGCTGGAGCAGCCTCTAGTGCAGATCTTGGTGGTAGTAGCAATTAATCAAATGAGAACTTTGATGACCGAAGTGATAAGGGTTCCGGGAGAACAGCAATTGTCCTCCGGTTAGTCGGCCCAAAGGAAAAGCTTACCTCAGAGGAGGCTTCGCCTCTTGACCTGAAAGGAAAAAGGCCCAAATTCCTTTACTAGTTGGTGGGGTTGTGGTAACACAACCGAACTTGGGTTGCCAGGAGAAGCCCTGGGGAGCGTTATCTTTGCTCTTTGACAACACCACTTTGAATCGGCTTGTCTGGAGAAAAGGATGAAAAGTTGGTATAGTTTCTACACCTGTTGGAAATCCGGTGCGCTTCTATTGGCCTTTGAAACCCCAAGGGATATTTACTCCACTTCTAGCCGTACCCAACCGCATCAAGCTCCTAGGTTCGCAGCCTCTGGTCGATAGAATAAGGCGGATGAGGGAAGTCGGCAAATTAGATCTGACCTTTGGAAAAAGGATTGGCTCTGAGGGCCGAGCTTTCAGGGCCTAGTGACAGTTCATCGTTCTCGCTTTCTTGGAGTGGGTTTACCGCTTTGGGAGTTGCAACGAGCGGTGGCCTACGCTAGAGCTTCGGCTATCCTGTTGGCATTAACCGGCTAACTCAGAACTGGTACGGACAAGAGGAATCTGACTGTTTAATTAAACAGCATTGCGACAAGCGGCAACGCTTTACGCAATGTGATTCGCCCAGTGTCTGAACGTCATTGCGATGAAATTCGCCCAAGCGCGGGTAAACGGCGGGGAGTAACTACGACTCCTTAAGGTAGCCAAATGCCTCGTCATTTAATTAGTGACGCGCATGAATGGATCAACGAGATTCCTACTGTCCCCATCCGCCATCTAACGAAACCACAGCCAAGGGAACGGGCTTGGCAAAATAAGCGGGGAAAGAAGACCCTGTTGAGCTTGACTCTAGTCTGACTTTGTGGAGTGACTTGGGGGTGTAGCATACGTGGGAGCTTTGGCGACAGTGAAATACCACGACCTCCACTGTCGCTCTACTTACTTGTCACAACGAATCACGTTTTCTTACGTGTTCTAGATTTAAGGTTCTCTTACCGATCGTATCAGAGGACATATTCAGATGGGGAGTTTGGCTGGGGCGGCACATCTGCTAAACTGCAACGCAGATGCCCTAAGGTTGACCTCCAGAGAGAACAGAAATCTCTCGTAGACTGAAAGGGGAAAAGTCAGCTTGATTCTGATTTCCAGTGCGAATACGAACTGCGAAAGCATAGCCATCGATCCTTTAAGTCCAGAAAGGTTCTGGCTAGAGGTGACAGAAAAGCACCACAGGGATAACTGGCTTGTGGCAGCCAAGCGTTCATAGCGACGTTGTTTTTTGATCCTTCGATGTCGGCTCTTCCTATCATTGAGACGGAGGAAGTCTCAAAATGTCGGATTGCTCACCCCGCTAATAGGAACGTGAGCTGG</t>
  </si>
  <si>
    <t>CTGCCAGTAGTCATATGCTTGTTTCAAGGA</t>
  </si>
  <si>
    <t>GATCCTTCTGCAGGTTCACCTACAGCT</t>
  </si>
  <si>
    <t>&gt;consensus_cl_id_0_total_supporting_reads_5</t>
  </si>
  <si>
    <t>TTAAGCCATGCATGTCTAAGTATAAGCAATTTATACAGTGAAACTGCGAATGGCTCATTAAATCAGTTATCGTTTATTTGATAGTACCTTTACTACTTGGATAACCGTGGTAATTCTAGAGCTAATACATGCTAAAAATCCTCGACTGTTTGGAAGGGATGTATTTATTAGATAAAAAATCAATGCTTTTCGGAGCTCTTTGATGATTCATAATAACTTTTCGAATCGCATGGCCTTGTGCTGGCGATGGTTCATTCAAATTTCTGCCCTATCAACTTTCGATGGTAGGATAGTGGCCTACCATGGTTTCAACGGGTAACGGGGAATAAGGGTTCGATTCCGGAGAGGGAGCCTGAGAAACGGCTACCACATCCAAGGAAGGCAGCAGGCGCGCAAATTACCCAATCCCGACACGGGGAGGTAGTGACAATAAATAACGATACAGGGCCCTTTCGGGTCTTGTAATTGGAATGAGTACAATGTAAATACCTTAACGAGGAACAATTGGAGGGCAAGTCTGGTGCCAGCAGCCGCGGTAATTCCAGCTCCAATAGCGTATATTAAAGTTGTTGCAGTTAAAAAGCTCGTAGTTGAACCTTGGGCTTGGTTGGCCGGTCCGCCTTTTGGCGAGTACTGGACCCAACCGAGCCTTTCCTTCTGGCTAACCTTTCGCCCTTGTGGTGTTTGGCGAACCAGGACTTTTACTTTGAAAAATTAGAGTGTTCAAAGCAGGCCTTTGCTCGAATATATTAGCATGGAATAATAGAATAGACGTTATGGTTCTATTTTGTTGGTTTCTAGGACCATCGTAATGATTAATAGGGACGGTCGGGGGCATCAGTATTCAGTTGTCAGAGGTGAAATTCTTGGATTACCTGAAGACTAACTACTGCGAAAGCATTTGCCAAGGACGTTTTCATTAATCAAGAACGAAAGTTAGGGGATCGAAGATGATCAGATACCGTCGTAGTCTTAACCATAAACTATGCCGACTAGGGATCGGGTGTTGTTCTTTTTTTGACGCACTCGGCACCTTACGAGAAATCAAAGTCTTTGGGTTCTGGGGGGAGTATGGTCGCAAGGCTGAAACTTAAAGGAATTGACGGAAGGGCACCACCAGGAGTGGAGCCTGCGGCTTAATTTGACTCAACACGGGGAAACTCACCAGGTCCAGACACAATAAGGATTGACAGATTGAGAGCTCTTTCTTGATTTTGTGGGTGGTGGTGCATGGCCGTTCTTAGTTGGTGGAGTGATTTGTCTGCTTAATTGCGATAACGAACGAGACCTTAACCTACTAAATAGTGCTGTTAGCTTTTGCTGGTATAGTCACTTCTTAGAGGGACTATCGATTTCAAGTCGATGGAAGTTTGAGGCAATAACAGGTCTGTGATGCCCTTAGACGTTCTGGGCCGCACGCGCGCTACACTGACGGAGCCAACGAGTATTAACCTTGGCCGAGAGGTCTGGGAAATCTTGTGAAACTCCGTCGTGCTGGGGATAGAGCATTGTAATTATTGCTCTTCAACGAGGAATTCCTAGTAAGCGCAAGTCATCAGCTTGCGTTGATTACGTCCCTGCCCTTTGTACACACCGCCCGTCGCTACTACCGATTGAATGGCTTAGTGAGGCCTCCGGATTGGTTTAAAGAAGGGGGCAACTCCATCTTGGAACCGAAAAGCTGGTCAAACTTGGTCATTTAGAGGAAGTAAAAGTCGTAACAAGGTTTCCGTAGGTGAACCTGCAGAAGGATCAGGTGCTGGAGTCTTGTGTCCCAGTTACCAGGTTAACCTTAGCAATACGTAACTGAACGAAGTACAACAAAAAAAAAAAAAAAAAAAAAACACACACACACACACACACACACACACACACACACAC</t>
  </si>
  <si>
    <t>Am</t>
  </si>
  <si>
    <t>GAATTGACGGAAGGGCACAC</t>
  </si>
  <si>
    <t>CCAAGAYRTCTAAGGGCATCAC</t>
  </si>
  <si>
    <t>&gt;consensus_cl_id_3_total_supporting_reads_56</t>
  </si>
  <si>
    <t>TTACAGACCTGTTATTGCTCAATCTCGTGCGGCTAGAAGCCGCCTGTCCCTCTAAGAAGAATTTTAATACGTCGCCAGTGAGTTGCGCGACACGGATGCCAGCACGACCTAGGATGTCGACGCCTATTTAGCAGGCTAGAGTCTCGTTCGTTATCGGAATTAACCAGACAAATCGCTCCACCAACTAAGAACGGCCATGCACCACCACCCACCGAATCAAGAAAGAGCTGTCAATCTGTCAATCCTTCCGGTGTCCGGGCCTGGTGAGATTTCCCGTGTTGAGTCAAATTAAGCCGCAGGCTCCACTCCTGGTGGTGCCCTTCCGTCAATTCAGGTGCTGGAGTCTTGTGTCCCAGTTACCAGGTTAACCTTAGCAATACGTAACGTG</t>
  </si>
  <si>
    <t>Insect</t>
  </si>
  <si>
    <t>Ad</t>
  </si>
  <si>
    <t>CCAGCTCACGTTCCCTATTAGTGGGTGAACAATCCAACGCTTACCGAATCTGCTTCGGTATGATAGGAAGAGCCGACATCGAGGAATCAAAAAGCAATGTCGCTATGAACGCTTGACTGCCACAAGCCAGTTATCCCTGTGGTAACTTTTCTGGCACCTCTAGCCTCAAATTCCGAGGATCTAAAGGATCGATAGGCCGCTTTTCATGGTTTGTATTCACACTGAAAATCAAAATCAAGGGGGGCTTTTACCCTTTTGTTCTACTGGAGATTTCTGTTCTCCATGAGCCCCCCTTAGGACACCTACGTTATCGTTTAACAGATGTGCCGCCCCAGCCAAACTCCCCACCTGACAATGTCTTCAACCCGGATCAGCCTCTAAAGAGACTTTAATGCTAGAACGTGGACGATGAAGGCCAGCTCCGTTTAATTGAATAAGTAAAAAAACTATAGAGGTAGTGGTATTTCACCGGCGCCGAAGCTCCCACTTATTCTACACCCTCTATGTCTTTTCACAATGTCAAACTAGAGTCAAGCTCAACAGGGTCTTCTTTCCCCGCTGATTCTGCCAAGTACGTTCCCTTGGCTGTGGTTTCGCTAGATAGTAGATAGGGACAGTGGGAATCTCGTTAATCCATTCATGCGCGTCACTAATTAGATGACGAGGCATTTGGCTACCTTAAGAGAGTCATAGTTACTCCCGCCGTTTACCCGCGCTTGGTTGAATTTCTTCACTTTGACATTCAGAGCACTGGGCAGAAATCACATTGCGTCAACATCACTTTCTGACCATCGCAATGCTATGTTTTAATTAGACAGTCAGATTCCCCTTGTCCGTACCAGTTCTAAGTTGATCGTTAAGCGTGCCCCGGACACTCAAAGTCTACCAAAACCGTCTACAACAAGATCCGACAGCGGTCCGTCCAAGATTGCTCCTAGACAGTCCACCATCAGTTCCGCTGCGTCTGGTAAAGGCCCAGCACGCGATCATGAGCCAATCCTTATCCCGAAGTTACGGATCTATTTTGCCGACTTCCCTTATCTACATTATTCTATCAACTAGAGGCTGTTAACCTTGGAGACCTGCTGCGGTTATGAGTACGACCCGGCGTGAAAACTATTCCTTCCTGTGGATTTTCAAGGACCGTCGTAACGCGCACCGGATGCAACAAAAGTATTGCACTCTTCCAGCCATAAGACCCTATCTCGGATAAACCAATTCCAGGGTGATAAGCTGTTAAGAAGAAAGAGAACTCCTCCCAGGGCTCACGCCGACGTCTCCACATTCAGTTACGTTACCGTGAAGAATCCATATCCAAGTTCCGGAATTTTAACCGGATTCCTTTCGATGGTGACTTGAAAAATCGAAGTTCTTTGAAACGGAGCTTCCCCATCTCTTAGGATCGACTAACCCATGTCCAACTGCTGTTGACATGGAACCTTCCCCGCTTCAGCTTCAAAGTTCTCATTTGAATATTGCTACTACCACCAAGATCTGCACTGAGGCCGTTCTACCCAGCTTTACAGTCAAGGCTTCGTCATGACCTCCACGCCTGCCTACTCGTCAGGGCATCATATCAACCCGTGACGGTGAAGTATAAGTAACACGCTTGAGCGCCATCCATTTTCGGGGCTAGTTCATTCGGCCGGTGAGTTGTTACACACTCCTTAGCGGATTCCGACTCCTTGGCCACCGTCCGGCTGTCTAGATGAACTAACACCTTTTGTGGTGTCTGATGAGCGTGTATTCCGGCACTTTAACTTCACGTTCGGTTCATCCCGCATCAGTTCTGCTTGCCAAATGGCCCACTAAAAATATTCATTCAAATGTCCACGTTCAATTAAGCAACAGGACTTCTTACATATTTAAAGTTTGAGAATAGGTTAAGGTCATTTCAACCCCAATACTCTAATCATTCGCTTTACCTCATAAAACTGATACGAGCTTCTGCTATCCTGAGGGAAACTTCGGCAGGAACCAGCTACTAGATGGTTCGATTAGTCTTTCGCCCCTATACCCAAATTCGACGATCGATTTGCACGTCAGAACCGCTACGAGCCTCCACCGAGTTTCCTCTGGCTTCACCCTATTCAGGTATAGTTCACCATCTTTCGGGTCCCAACGGCTATGCTCTTACTCAAATCCATCCGAAGACATCAGGATCGGTCGATGATGCACTCTTAAGAGCTCTCACTACGTTCACTCGTTACGCGTACGGGTTTTACACCCAAACACTCGCATAGACGTTAGACTCCTTGGTCCGTGTTTCAAGACGGGTGGCTTAAGATCATTATGCCAACATCCTAGTCAAAAGACGCAGTCCTCGGTCTAGACAGGCAGTATCAACCAAGGCTATAACCTCCGCACCGAAGTAGAGCCACATTCGCCTAGTCTTCATCCTACCATCCAAACCGATGCTGGCCCAGTAAGCTGCGAGGAACCCAACCAAGAAGGAAAGGATCGCAAAATACCAAGTCTGATCTAAGCCACTTCACTTCAACAATTTCACGTACTTTTTCACTCTCTTTTCAAAGTTCTTTTCATCTTTCCATCACTGTACTTGTTCGCTCTCGGTCTCTCGCCAATATTTGGCTTTAGATGGATTTTACCGCCCACTTAGAGTGGCTCCCAAACAACTCGACTCTTCGAAGCACTTTACATAGAATTGGGCATCTCATACGGGATTCTCACCTCTGTGACGCCTGTTCCAAGGAACATAGCAAGAACCAACTCCAAAGTTACCTTCTTCAAATTACAACTCGGACACCGAAGGTGCCAGATTTCAAATTTGAGCTTTTGCCGCTTCACTCGCCGTTACTAAGGCAATCCCTGTTGGTTTCTTTTCCTCCGCTTATTGATATGCTTAAGTTCAGCGGGTAATCCTACCTGATTTGAGGTCAAACTTGTTTGTTATATTGTAAGGCCGAGCCTAGAATACCGAGAAATATACCATTAAACTATTCAACGAGTTGGATAAACCTAATACATTGAAAGTCATATAGCACTATCCAGTACCACTCATGCCAATACATTTCAAGCAAACGCCTAGTTCGGCTGAGTGTCACTCAATACCAACCCGAAGGTTTGAGAGAGAAATGACGCTCAAACAGGCATGCCCTCTGGAATACCAGAGGGCGCAGTGTGCGTTCAAAGATTCGATGATTCACGAAAATCTGCAATTCATATTACTTATCGCATTTCGCTGCGTTCTTCATCGATGCGAGAACCAAGAGATCCGTTGTTGAAAGTTTTGAAGATTTTTTGAATTTAATCAGCAAATTGACAATTAAATAAATAACAATTCAATATAAATATTGAAGTTTAGTTCAGTAAACATCTAGCCCAAACTGTTTCTAGTCCAGACCAAAGCAAAAGTTCTTGTAATAACAAAACACACTGTGTGTAAGGTTTTTTCGCCGCGCAATTAAGCGCTGGCAAAGAATACTGTAATGATCCTTCCCAGGTTCACCTACGGAAACCTTGTTACGACTTTTACTTCCTCCTAAATGACCAAGTTTGACCAGCTTTTCGGTTCCAAGATGGGTGCCCCTTCTTTAAACCAATCCGGAGGCCTCACTAAGCCATTCAATCGGGTAGTAGCGACGGGCGGTGTGTGCAAGGGCAGGGACGTGTCAACGCAAGCTGATGACTTGCGCTTACTAGGAATTCCTCGTTGAAGAGCAATAATTACAATGCTCTATCCCCAGCACGGCGGAGGCCACAAGATTTCCCAGACCTCTCGGCCAAGGTTAATACTGGTGGCTCCGTCAGTGTAGGCGCGTGCGGCCAGAGCGTCTAAGGGCATCACAGACCTGTTATTGCCTCAAACTTCCATCGACTTGAAATCGATAGTCCCTCTAAGTCCGACTATGCCAGCAACAGCTAGCAGCACTATTTGGTAGGTTAAGGTCTCGTTCGTTATCGCAATTAAGCAGACAAATCACTCCACCAACTAGAGCGGCCATGCACCACCACCCACAAAATCAAGAAGAGCTCCAATCGTCAATCCTTATTGTGTCTGGACCTGGTGAGTTTCCCCGTGTTGGTCGGTAGCCGCAGGCTCCACTCCTGGTGGTGCC</t>
  </si>
  <si>
    <t>&gt;consensus_cl_id_0_total_supporting_reads_104</t>
  </si>
  <si>
    <t>TACGTCCAAGACGTCTAAGGGCATCACAGACCTGTTATTGCTCAATCTCGTGCGGCTAGAAGCCGCCGGTCCCTCTAAGAAGAATTTTAATACGTCGCCAGTGAGTTGCGCGACACGGACGCCGGCACCCGGGACAGCCTGAATGTCGACGCCTATTTAGCAGGCTAGAGTCTCGTTCGTTATCGGAATTAACCAGACAAATCGCTCCACCAACTAAGAACGGCCATGCACCACCACCCACCGAATCAAGAAAGAGCTGTCAATCTGTCAATCCTTCCGGTGTCCGGGCCTGGTGAGATTTCCCGTGTTGAGTCAAATTAAGCCGCAGGCTCCACTCCTGGTGGTGCCCTTCCGTCAATTCAGGTGCTGTTCTCGCAAAGGCAGAAAGTAGTCTTAACCTTAGCAATACGTAATCCTTCGTGCTGTCAGCGATTACTTTTCTTCTTAGAGGGACAGGCGGCTTTAGCCGCACGAGATTGAGCAATAACAGGTCTGTGATGCCCTTAGATGTCTTGGAGGTGCTGTTCTCGCAAAAGGCAGAAAGTAGTCTTAACCTTAGCAATACGTAACTGAACGAAGTACA</t>
  </si>
  <si>
    <t>As</t>
  </si>
  <si>
    <t>Aphomia sociella</t>
  </si>
  <si>
    <t>ATTGTACTTCGTTCAGTTACGTATTGCTAAGGTTAAACACAAAGACACCATTAACTCTTCAGCACCTCCTTAGATGGCCTGGGCTGCAGCAGTGTAACATTAGCTGACACCCAGCCTATCAAAAGACACTTCTCGTTAGCCACTTTCTTGGCGGCATCTATGGGGCAGCGGCCACACGGTGCCCAGACCCGAGGGGCCAAGGCGGACTTCCCCCACTGTGACTGCTTCCTCATTGCATCCTCCAACCTCTGACACAGTCCGAGCAACTCGCTCAGTTATGGAGTCGTCTAATCCCGAAAGACGCATTTCTGCACATTTTGTGGGTCTGGATATCCGGACCTCTTCAGGGTTAAAGATGACTCGCAGCTTGTACCAAAGTCAGCCTTCTCGCTATTTGTTTCGCCCGAGACCTCAAGAACACGGGCACCAGTAAGCCGCTTTCGACATCGCATGTCGCGGGGGCTGATGCCAAGATCAACAGGGGAAACCTTTTGCCTAGCTTCAGTCAGTACCGCCGCATAGCTCATGCCTCTCTCCTCTGCTCCCGGCTGCAGGGTGATGACCACAGCTGCCGAACGAGGGGGCGTAGTTTGACAGGCTTTGGTTTCCCCACTATTTGACCACCTTTGCTGCCTGTTTTCTTCTTTGTTCCTCGCCTGGTTACCGTAGTCCTCCCCATCCGTGGGCTTAGGTGCTGGCGGCAACGAGCGGGGTTCACTCCGAGAAAGAGGGAGAGAGGGAGTAGGGACGACAGCCTCGCCATTCCCTCGCTTCGACTTTTTACCCCTTCTTCTTCTTTTTCCGCTTGGAAGCGGGGTTGGCCACAGTTGTCACTGTTTGCGACCTCTCATTCGGAGTGACATCAACAGAAGCTGGAGCCTCAATGGACGGTGCTACTACACCGCGACTTGCAGCAGCGTAACTGCGTTGCGGCTGTGGGTCAGTTCCGCTTCGGCGGACAGTTGCCTTGGAAGGACCTTTGGTGGGCAAAAGCCTCTCCTCTAGCCCACCAAACCTGGCATCCATCATGCTGCCTACTTCTGACAGCGCTTTCCTCAGCAGGGCTTCCGGCGACGAATCAGTCGACGATAGCATGCCTGGGACGTGCGTGTTCGGTACGGCTGGCGGTGGTGCCGGTGAGCGATAACCCTCCGCAGCTCCTGTCTCATTTCGGCGAGTTCCTTGCGGAGTTCTGCCAGTTCTGCCTGTAATCGGGCATTGTCCACCTGTAATTTCCGGGTTTCCTCGGAAACCGAGCAACGATGTAAGCGCTTCCACCGCATTACTGATGGAGGCTGTCGCTTCCTTAAGAGCACGCTGGAAAAGTACCCTTAAGATTGCCGATTTCGATGCAACCGTCCGTATAATCGTAAGCCCATCGATTGCTTGTTGCCGAAGGGTTGAGGCTAGTGGCCCTTCAGAGTCGCATGAAAGCGACGAAGAAATCGAGAGTCGCCTCAGCCTGGCACTTCTCGAAATCGTCGAGTAGGTCTGCCGTCTCTTCTTCTTGCCGAAGTTTCAGCTCCTCCCTTTTGGCCTTATTTGCTCAGCCTGAGCCTTAGCCAAGCCGACATAGTTTCCGCTGGTCGGAGGGCGACCTCTACCTCTTTTAGACTGAGGTCTTCGAGGCGGATACTGCGCTCTCACCGGAGTCGCCGACCAAATCGCCACGGTTCCTCCTTTTACTTGGTCGATCTTTGTCTGAAGACCTTTCAGATCGCGCCATCAGCCATGCTGCACGCGGAAGAGTCAGACTCAGTCATTTCCTCCGCGTGTTGGACTGCCTGATTCTCCAAAGGACTGTTGTCAGCTGCAACGTCTCCAGCTGAGTTCTCCCTTGCCTCAGGCTCGGAATTGCTCGGTTCTGTGGCTTGCACCAGCCCGAAATTCTGGCACACATCTCTATCAGCGGCTGTTAATTCGACCACCAACGTTTTCTCCTCCACTTCAGACACAGGAGCCTCCAGGGGCGTCCAGTTGACAGGCACGCTTGCCGTAAGTAGCGCTCCGAGCTCCGTGTCGCTCTCCTGCTTCTTCTGCTCTCTGTTCTTTACCATCCACCTCCACCCTTTCCGATGGACTAACCGGCATAGACGAGACTACATCTTTTTCGGATTCTACCACAGCCGCGCTTGTCACGGACAGCGCAACGAGCTCTCACTAGATCTAGCGACCGACTTGAGTCAAGGCATTTTGCCCTTGACATCTGGCGCAGATCTTTATCTACTCCTTCTACTATGGGTTTTACCCCCTTCAGCCAAACTGCTATACTCAATATCGGCTTTCGCCTCTTCTCCTACCACATCAATTGGTTTTGGGTTTTTAATACTGGTTTCCATATGGTTCCCACGAGTGTTGGAGAAGGTTTCTCCGCTTGAGCAGGCTCACCATGCCTACTGAGGCCTAAATACAACGGAGTGCGGCAGGTGCTCCGAGGTTTTGCGCGCTTTGCGACCGAAGAACCTCTCCGGCCCGCCCCGCCCACAGAACAAGTCATCTGAGGTAGGATCTCAATGGCCTGCTCTGCGTGCGGAACTGCCCATCATCACGCGCCGAACTTAAGCAAGGGATTTTTATGAGGTTTACTCCTCGCAGCCCAGACCATCTAAGGGCTGCCAGTGGTCATATGCTTGTTTCAAAGATTAAGCCATGCATGTCTAAGTATAAACAAATTCATACTGTGAAACTGCAGATAGCTCATTAAATCAGTTATAGTTTATTTGATGGTACCTTGCTACATGGATAACTGTGGTAATTCTAGAGCTAATACATGCTGAAAAGCCCCGACTTCTGGAAGAGGTGTATTTATTAGATAAAAACCAATGGGTGAAAGCCCTTCTTGGTGATTCATGATAACTTCTCGAATCGCATGGCCTTGTGCCGGCGATGCTTCATTCAAATGTCTGCCTATCAACTTTCGATGGTAGGATAGAGGCCTACCATGGTGGCAACGGGTAACGGGGAATTAGGGTTCGATTCCGGAGGGAGCCTGAGAAACGGCTACCACATCCAAAGGCAGCAGGCGCGCAAATTACCCAATCCCGACACAGGGAGAATGATGACAATAAATAACAATGCAGGGCCCTTTGGGTCTTGCAATTGGAATAGTACAATTTAAAATCCCTTAACGAGGAACAATTGGAGGGCAAGTCTGGTGCCAGCAGCCGCGGTAATTCCAGCTCCAATAGCGTATATTAAAGTTGTTGCAGTTAAAAAAGCTCGTAGTTGAACTTCAGGCCCGACGGGGTGAGGTCTGCCTCACGGTATGTACTATCCGGTTGGGCCTTTTTACTCCTGGTGATCGTATGTCGTTTACTCGGTGTGCGGGGAACCAGGAGTACCACTTTTTGAAAAAATTAGAGTGTTCAAAGCAGGCATATGCGAATACATTAGCATGGAATAATAGAATAGGACGTGCGGTTCTATTTTGTTTTCTAGGATCGCCGTAATGATTAATAGGGACGGTTGGGGGCATTAGTATTCGGATTGCTAGAGGAATTCTTAGATTTACTGAAGACTAACTACTGCGAAAGCATTTACTTGAGACGTTTTCATTAATCAAGAACGAAGGTTGGGGATCAAAAATGATTGAATACCGTTGTAGTCCTAACGGTAAACTATGCCGACTAGGGATCGGGTGTTGTTCTTTTTGACACTCGGCACCTTACGAGAAATCAAAGTGCACAGGTTCTGGGGGGAGTATGGTCGCAAGGCTGAAACTTAAAGGAATTGACAGGAAAGGGCACCACCAGGAGTGGAGCCTGCGGCTTAATTTGACTCAACACGGGAAACTCACCAGGTCCAAGACACAATAAGGATTGACAGATTGAGAGCTCTTTCTTGATTTGTGGGTGGTGGTGCATGGCCGTTCTTAGTTGGTGGAGTGATTTGTCTGCTTAATTGCGATAACGAACGAGACCTTAGCCACCACCTAAATAGTGCTGCTAGCTTTTGCTGGTATAGTCACTTCTTAAGAGGGACTATCGATTTCAAGTCGATGGAAGTTTGAGGCAATAACAGGTCT</t>
  </si>
  <si>
    <t>&gt;consensus_cl_id_1_total_supporting_reads_2</t>
  </si>
  <si>
    <t>CCAGCTTTCACGTTCCCTATAAACGGGTGAACAATCCGACACTTTGAGACTTCTGCGTCCCAATGATAGGAAGAGCCGACATCGAAGGATCAAAAAGCAACGTCGCTATACGCTTGGCTGCCACAAGCCAGTTATCCCTGTGGTAACTTTTCTGTCGCCTCTACCAGAACTGTTCTGGATTTAAAGGATCGATAGGCCATACTTTCGTAGTTCATAATCGTAATGAAATTCTGAATCAAGCTGACTTTTTCGCTTTTAGTCTGCGAGAGATTTCTGTTCTCTCTGAGTCAACCTTTGGACATCTGCGTTGCAATTTAGCAGATGTGCCGCCCGCTCCAAACTCCCCATCTGACAATGTCCTCTTTGATGTGAGTTATCAACCGACATTCATCAACTCTTTGAAGCCGCACCATTTAAAGAGTAAGCAGAACAACGCTACGGGTCGTGGTATTTCACTGTCGGGCAAGCCACTCCACGTATATTACTACCCCATAGGTTATTCCACGATATAGACTAGGAGTCAAGCTCAACAGGGTCTTCTTTCCCCGCTTATCATGCCAAGCCCCGTTCCCTTGGCGTGGTTTCGCCAGGTCGCAGATCGGGGACAGTAGGAATCTCGTTAATCCATTCATGCGCGTCACTAATTAGATGACGAGCATTTTGGCTACCTTAAGAAGTCATAGGTGCTCCCGCCGTTTACCCGCGCTTAAGTGATCTCATCACCGTGACATTCAGAACACTGGGCAGAAATCACATTATGTCAGCAGCAGTAAAGCCTATCATAATGCTTTGTTTTTAATTAAACAGTCAGATTCCTCTGGTCCGCACCAGTTCTGAGTTGACAGCATAACTGTCCTCAGAGCCAATCCCACCGAAGGTTCGGATCTAATTTGCCGACTTCCTCATCTGCTTTGCTCTGCTAAACCAAAGGTACCTAACCTTGGAGACCTGCTGCAGTTATTGGTACGGTTCAAAGAACTCCATAGACCACTGGTTTTTCAACGGCCCCGAGTTGTTGTCGGTAGACTCTCAAATGAGGGTCCTCTCCTGGTTACTCTCTTCTCAAACCAACATTATTCCGAGAGATATCTGAGTTGAAAGGCATAGACGTCGCCTCACGACACTCTCGGACCCCCCAGTGACCCTTGTGTTACCACTCTAAAGTCTTTGAGTTGGGAATATTAGCCTTATTCTCTTTCGGGAATCATTTGAGCCGTAAACCCCTTAGAACCGACTAACCCGAAACCAACCTGTTCCTTCGGAACCTTATCCACGTAGGCCGTTGCCGTTCTCAGACAACTATTTACTACTATCACCAAGATCTGCACTAAATTCACCTCCTGTTGCACTCACGCACAACATTCTCTGGTAAATTCACGCCCTCCTACACGTTGTTTTCTTTACAACAACGACGCATTATCGACTTTTCGCTGACCGTCATCAATTTTCCGGGGCTGGTCCATTCGGCGGGTGAGTTATTCCACACTCCTTAGTGGATTTCCACTTCCATCACCAGCGTGCTGTCTCGTGACCAACACCCGGTTTGTCATAAGCGGAAGTAGACGTCTTTATACGTTTAAGGAGCATCCACATCGCCAGTTCTTCCCTTAGTGCCCACTATGGTTACATAGTCTCCGCCAATTATCAACTAATTGGCCTTATCATTTCATTTGAAGTTTGAGAATAGGTCGAGGACCAAGATGTCCCCAGTGCCTCTAATCATAAGCTTCCGAAACCTACTTTTCAAAGTTCAAGCTATCCCAGGGAAACTTCGGAGAACCAGCTACTAGATGGTTCGATGAGTCTTTCGCCCCTATACTCAGGTAGGATGAACGATTTGCACGTCCGTATCACATTGAGCCTCCACCAGGATTTCTCTCTCCTCTTCCCAAGTATAGATCACCATCTTTCGGGTTTAATAAGTATGCTCTATCACAATTTTCACAGGAATTGCTTGTTCCGCAATCACTTTCATTCCGCACTTGGGTTTTCTACCCTAGCACTTGCACGGAATGCTCCTTGGTCCGTGTTTCAAGACGGGTCATAATCGAAACCATACGGAGCCATTTAAACACGACCATGCCGCCAAGGCGGTTCCTGATTATGCTTCCAGCCCAGCGATTTCATGTTTTTGAAGCTCTCTCGGGTTCTTTTCAACTTTCCCTCATGGTACTTATTCGCTATCGGTTTTGCAGTAATGCACCAACTTCGAGCACAGATACGCCCGCTTTTAGCTCCACTCTCAAGGAGTTTGACTCTTCAGTCCATAACGTTGCGTTCTCTTCTTAGAAACAGGCCTGTACCATTTTTCAGTTAGTCTTCCACCTCAACAACTAATCGGATCCCGCTCCGCTATCGATCCACACATGTCATTGCAAGCAATGATTCACGGACAGTTTGAATCGCTGTCGCCGCTAGTCAGGATGTCACTGTTGTTTTCCTTTCCTCCTCTTAATTATATGCTTAAATTCAGAGGGTAGCTTCAATTAGATCGGGTTCAATTAGATATCTACTCCAGGTAACAACATTCGTTAATACTTAGAGGATTTTTTGGAATTCCCACGATTACTGGAATTTGAACCGCTCGTACGTCAAAGACACCAAACTCTGATCTAATTGTACTCTAACGGGTCAATACGTTCAGAAGTGATGCTTTCAAAATGCTCAGATCGGCACCCATACTGCGGACTGACACATCTTTCATCAAACTGCGAGCCAAGTAATCCATCGCTGAACCTTTAATTAGGTATGTTTAATGTCCGTCAATGCCTAGAATCATTCTAGATGATGTGTTCTAAACACTTTTTTAATATCCATCCGCGGGTTCACCTACGGATACCGGTTACGACTTCTTCATCCTCTAGATGACAAGGCTTATTCCACTTCCATTTCACAAAGGCGAATGCTATTATAAATCATCACAAGTGCCGGATATCAATCGGTTGAAGCGACGGGCGGTGTGTACAAAGGGCAGGGACGCAATCAGCACAGTATTATGAACTATACTTACTAGGAATTCCTCGTTCATGAGCCGAGATTACAAAACTCAATCCCTAACACGACACTATTTTCGTGATTTCACATTTCTTTCGAAATGTAAGGCTTGTGCTAGAGTCATTGTAGCACACGTGCAGCCCAGGCCATCTCGGGGCATCACAGACCTGTTATAGCCTCGATCTTACCTGGGGTAAAACCCCCGAAGTCCTTCTCCATACAGCTTCTCAGGAATGATGAGAAGAGAGGAACAACCGAGATCTCGTCCGTTATCGGATTAACCAGACAAGTCACCTCACCGACTAAGAACGGCCATGCACCACCACCCATAGAATCGAGAAAGATCTCTTCCTTATTCAACCGTGTCGGGACTGGTAAAATTCCCGTGTTGACTCAATTAAGCGCAGGCTCCACTCCTAATTGGTGCC</t>
  </si>
  <si>
    <t>GGCACCAATTAGGAGTGGAGCCTGCGCTTAATTGAGTCAACACGGGAATTTTACCAGTCCCGACACGGTTGAATAAGGAAGAGATCTTTCTCGATTCTATGGGTGGTGGTGCATGGCCGTTCTTAGTCGGTGAGGTGACTTGTCTGGTTAATCCGATAACGGACGAGATCTCGGTTGTTCCTCTCTTCTCATCATTCCTGAGAAGCTGTATGGAGAAGGACTTCGGGGGTTTTACCCCAGGTAAGATCGAGGCTATAACAGGTCTGTGATGCCCCGAGATGGCCTGGGCTGCACGTGTGCTACAATGACTCTAGCACAAGCCTTACATTTCGAAAGAAATGTGAAATCACGAAAATAGTGTCGTGTTAGGGATTGAGTTTTGTAATCTCGGCTCATGAACGAGGAATTCCTAGTAAGTATAGTTCATAATACTGTGCTGATTGCGTCCCTGCCCTTTGTACACACCGCCCGTCGCTTCAACCGATTGATATCCGGCACTTGTGATGATTTATAATAGCATTCGCCTTTGTGAAATGGAAGTGGAATAAGCCTTGTCATCTAGAGGATGAAGAAGTCGTAACCGGTATCCGTAGGTGAACCCGCGGATGGATATTAAAAAAGTGTTTAGAACACATCATCTAGAATGATTCTAGGCATTGACGGACATTAAACATACCTAATTAAAGGTTCAGCGATGGATTACTTGGCTCGCAGTTTGATGAAAGATGTGTCAGTCCGCAGTATGGGTGCCGATCTGAGCATTTTGAAAGCATCACTTCTGAACGTATTGACCCGTTAGAGTACAATTAGATCAGAGTTTGGTGTCTTTGACGTACGAGCGGTTCAAATTCCAGTAATCGTGGGAATTCCAAAAAATCCTCTAAGTATTAACGAATGTTGTTACCTGGAGTAGATATCTAATTGAACCCGATCTAATTGAAGCTACCCTCTGAATTTAAGCATATAATTAAGAGGAGGAAAGGAAAACAACAGTGACATCCTGACTAGCGGCGACAGCGATTCAAACTGTCCGTGAATCATTGCTTGCAATGACATGTGTGGATCGATAGCGGAGCGGGATCCGATTAGTTGTTGAGGTGGAAGACTAACTGAAAAATGGTACAGGCCTGTTTCTAAGAAGAGAACGCAACGTTATGGACTGAAGAGTCAAACTCCTTGAGAGTGGAGCTAAAAGCGGGCGTATCTGTGCTCGAAGTTGGTGCATTACTGCAAAACCGATAGCGAATAAGTACCATGAGGGAAAGTTGAAAAGAACCCGAGAGAGCTTCAAAAACATGAAATCGCTGGGCTGGAAGCATAATCAGGAACCGCCTTGGCGGCATGGTCGTGTTTAAATGGCTCCGTATGGTTTCGATTATGACCCGTCTTGAAACACGGACCAAGGAGCATTCCGTGCAAGTGCTAGGGTAGAAAACCCAAGTGCGGAATGAAAGTGATTGCGGAACAAGCAATTCCTGTGAAAATTGTGATAGAGCATACTTATTAAACCCGAAAGATGGTGATCTATACTTGGGAAGAGGAGAGAGAAATCCTGGTGGAGGCTCAATGTGATACGGACGTGCAAATCGTTCATCCTACCTGAGTATAGGGGCGAAAGACTCATCGAACCATCTAGTAGCTGGTTCTCCGAAGTTTCCCTGGGATAGCTTGAACTTTGAAAAGTAGGTTTCGGAAGCTTATGATTAGAGGCACTGGGGACATCTTGGTCCTCGACCTATTCTCAAACTTCAAATGAAATGATAAGGCCAATTAGTTGATAATTGGCGGAGACTATGTAACCATAGTGGGCACTAAGGGAAGAACTGGCGATGTGGATGCTCCTTAAACGTATAAAGACGTCTACTTCCGCTTATGACAAACCGGGTGTTGGTCACGAGACAGCACGCTGGTGATGGAAGTGGAAATCCACTAAGGAGTGTGGAATAACTCACCCGCCGAATGGACCAGCCCCGGAAAATTGATGACGGTCAGCGAAAAGTCGATAATGCGTCGTTGTTGTAAAGAAAACAACGTGTAGGAGGGCGTGAATTTACCAGAGAATGTTGTGCGTGAGTGCAACAGGAGGTGAATTTAGTGCAGATCTTGGTGATAGTAGTAAATAGTTGTCTGAGAACGGCAACGGCCTACGTGGATAAGGTTCCGAAGGAACAGGTTGGTTTCGGGTTAGTCGGTTCTAAGGGGTTTACGGCTCAAATGATTCCCGAAAGAGAATAAGGCTAATATTCCCAACTCAAAGACTTTAGAGTGGTAACACAAGGGTCACTGGGGGGTCCGAGAGTGTCGTGAGGCGACGTCTATGCCTTTCAACTCAGATATCTCTCGGAATAATGTTGGTTTGAGAAGAGAGTAACCAGGAGAGGACCCTCATTTGAGAGTCTACCGACAACAACTCGGGGCCGTTGAAAAACCAGTGGTCTATGGAGTTCTTTGAACCGTACCAATAACTGCAGCAGGTCTCCAAGGTTAGGTACCTTTGGTTTAGCAGAGCAAAGCAGATGAGGAAGTCGGCAAATTAGATCCGAACCTTCGGTGGGATTGGCTCTGAGGACAGTTATGCTGTCAACTCAGAACTGGTGCGGACCAGAGGAATCTGACTGTTTAATTAAAAACAAAGCATTATGATAGGCTTTACTGCTGCTGACATAATGTGATTTCTGCCCAGTGTTCTGAATGTCACGGTGATGAGATCACTTAAGCGCGGGTAAACGGCGGGAGCACCTATGACTTCTTAAGGTAGCCAAAATGCTCGTCATCTAATTAGTGACGCGCATGAATGGATTAACGAGATTCCTACTGTCCCCGATCTGCGACCTGGCGAAACCACGCCAAGGGAACGGGGCTTGGCATGATAAGCGGGGAAAGAAGACCCTGTTGAGCTTGACTCCTAGTCTATATCGTGGAATAACCTATGGGGTAGTAATATACGTGGAGTGGCTTGCCCGACAGTGAAATACCACGACCCGTAGCGTTGTTCTGCTTACTCTTTAAATGGTGCGGCTTCAAAGAGTTGATGAATGTCGGTTGATAACTCACATCAAAGAGGACATTGTCAGATGGGGAGTTTGGAGCGGGCGGCACATCTGCTAAATTGCAACGCAGATGTCCAAAGGTTGACTCAGAGAGAACAGAAATCTCTCGCAGACTAAAAGCGAAAAAGTCAGCTTGATTCAGAATTTCATTACGATTATGAACTACGAAAGTATGGCCTATCGATCCTTTAAATCCAGAACAGTTCTGGTAGAGGCGACAGAAAAGTTACCACAGGGATAACTGGCTTGTGGCAGCCAAGCGTATAGCGACGTTGCTTTTTGATCCTTCGATGTCGGCTCTTCCTATCATTGGGACGCAGAAGTCTCAAAGTGTCGGATTGTTCACCCGTTTATAGGGAACGTGAAAGCTGG</t>
  </si>
  <si>
    <t>&gt;consensus_cl_id_1_total_supporting_reads_8</t>
  </si>
  <si>
    <t>TTAAGCCATGCATGTCTAAGTATAAGCAATTTATACAGTGAAACTGCGAATGGCTCATTAAATCAGTTATCGTTTATTTGATAGTACCTTTACTACTTGGATAACCGTGGTAATTCTAGAGCTAATACATGCTAAAAATCCCGACTGTTTGGAAGGGATGTATTTATTAGATAAAAATCAATGCTTTTCGGAGCTCTTTGATGATTCATAATAACTTTTCGAATCGCATGGCCTTGTGCTGGCGATGGTTCATTCAAATTTCTGCCCTATCAACTTTCGATGGTAGGATAGTGGCCTACCATGGTTTCAACGGGTAACGGGGAATAAGGGTTCGATTCCGGAGAGGGAGCCTGAGAAACGGCTACCACATCCAAGGAAGGCAGCAGGCGCGCAAATTACCCAATCCCGACACGGGGAGGTAGTGACAATAAATAACGATACAGGGCCCTTTCGGGTCTTGTAATTGGAATGAGTACAATGTAAATACCTTAACGAGGAACAATTGGAGGGCAAGTCTGGTGCCAGCAGCCGCGGTAATTCCAGCTCCAATAGCGTATATTAAAGTTGTTGCAGTTAAAAAGCTCGTAGTTGAACCTTGGGCTTGGTTGGCCGGTCCGCCTTTTTGGCGAGTACTGGACCCAACCGAGCCTTTCCTTCTGGCTAACCTTTCGCCCTTGTGGTGTTTGGCGAACCAGGACTTTTACTTTGAAAAAATTAGAGTGTTCAAAGCAGGCCTTTTGCTCGAATATATTAGCATGGAATAATAGAATAGGACGTTATGGTTCTATTTTGTTGGTTTCTAGACCATCGTAATGATTAATAGGGACGGTCGGGGGCATCAGTATTCAGTTGTCAGAGGTGAAATTCTTGGATTACCTGAAGACTAACTACTGCGAAAGCATTTGCCAAGGACGTTTTCATTAATCAAGAACGAAAGTTAGGGGATCGAAGATGATCAGATACCGTCGTAGTCTTAACCATAAACTATGCCGACTAGGGATCGGGTGTTGTTCTTTTTTTGACGCACTCGGCACCTTACGAGAAATCAAAGTCTTTGGGTTCTGGGGGAGTATGGTCGCAAGGCTGAAACTTAAAGGAATTGACGGAAGGGCACCACCAGGAGTGGAGCCTGCGGCTTAATTTGACTCAACACGGGGAAACTCACCAGGTCCAGACACAATAAGGATTGACAGATTGAGAGCTCTTTCTTGATTTTGTGGGTGGTGGTGCATGGCCGTTCTTAGTTGGTGGAGTGATTTGTCTGCTTAATTGCGATAACGAACGAGACCTTAACCTACTAAATAGTGCTGCTAGCTTTTGCTGGTATAGTCACTTCTTAGAGGGACTATCGATTTCAAGTCGATGGAAGTTTGAGGCAATAACAGGTCTGTGATGCCCTTAGACGTTCTGGGCCGCACGCGCGCTACACTGACGGAGCCAACGAGTATTAACCTTGGCCGAGAGGTCTGGGAAATCTTGTGAAACTCCGTCGTGCTGGGGATAGAGCATTGTAATTATTGCTCTTCAACGAGGAATTCCTAGTAAGCGCAAGTCATCAGCTTGCGTTGATTACGTCCCTGCCCTTTGTACACACCGCCCGTCGCTACTACCGATTGAATGGCTTAGTGAGGCCTCCGGATTGGTTTAAAGAAGGGGGCAACTCCATCTTGGAACCGAAAAGCTGGTCAAACTTGGTCATTTAGAGGAAGTAAAAGTCGTAACAAGGTTTCCGTAGGTGAACCTGCAGAAGGATCAGGTGCTGAAGAAAGTTGTCGGTGTCTTTGTGTTAACCTTAGCAATACGTAACTGAACGAAGTATTACCGCCCCCCCCCCCCCCCCCCCCCCCCCCCCCCCCCCCCCCACACACACACACACACACACACACACACACACACACACACA</t>
  </si>
  <si>
    <t xml:space="preserve">GregF / GregR </t>
  </si>
  <si>
    <t>CCCTTAGATRRYCTGGGCTGC</t>
  </si>
  <si>
    <t>CGTGTTACGACTTCTTC</t>
  </si>
  <si>
    <t>&gt;consensus_cl_id_1_total_supporting_reads_11</t>
  </si>
  <si>
    <t>ATCCTCTAGATGATAAGGCTCACAACATTTCCTCACGAAGAGCGATGTAGAACAAAGCAGCTACGTAAGTCCATGTAATTTGCCGGATCATCCAATCGGTTGAAGCGACGGGCGGTGTGTACAAAGGGCAGGGACGTAATCAGCACAAGGTGATGACTTGTCCTTACTAGGAATTCCTCGTTCATGACCCATAATTGCAAAGGTCAATCCCTATCACGACGGAGTTTCACAAGATTTCCCGCTTCGTACGAAGTAGGGTAGAGCTCGCTGACTCCGTCATTGTAGCGCACGTGCAGCCCAGGCCATCTAAAGGGACGTAAC</t>
  </si>
  <si>
    <t>GTTACGTCCCTTTAGATGGCCTGGGCTGCACGTGCGCTACAATGACGGAGTCAGCGAGCTCTACCCTACTTCGTACGAAGCGGGAAATCTTGTGAAACTCCGTCGTGATAGGGATTGACCTTTGCAATTATGGGTCATGAACGAGGAATTCCTAGTAAGGACAAGTCATCACCTTGTGCTGATTACGTCCCTGCCCTTTGTACACACCGCCCGTCGCTTCAACCGATTGGATGATCCGGCAAATTACATGGACTTACGTAGCTGCTTTGTTCTACATCGCTCTTCGTGAGGAAATGTTGTGAGCCTTATCATCTAGAGGAT</t>
  </si>
  <si>
    <t>&gt;consensus_cl_id_6_total_supporting_reads_104</t>
  </si>
  <si>
    <t>TACCAGACCTGTTATTGCTCAATCTCGTGCGGCTCGAAGCCGCCGGTCCCTCTAAGAAGAATTTTAATACGTCGCCAGTGAGTTGCGCGACACGGATGCCGCGCACACCTAAATGGCGACGCCTATTTAGCAGGCTAGAGTCTCGTTCGTTACCGGAATTAACCAGACAAATCGCTCCACCAACTAAGAACGGCCATGCACCACCACCCACCGAATCAAGAAAGAGCTGTTAATCTGTCAATCCTTCCGGTGTCCGGGCCTGGTGAGATTTCCCGTGTTGAGTCAAATTAAGCCGCAGGCTCCACTCCTGGTGGTGCCCTTCCGTCAATTCAGGTGCTGAAGAAAGTTGTCGGTGTCTTTGTGTTAACCTTAGCAATACGTAACTT</t>
  </si>
  <si>
    <t>V1F / CM-V5R</t>
  </si>
  <si>
    <t>CACCAGGTTGATTCTGCCTGAC</t>
  </si>
  <si>
    <t>TAANCAGCACAMTCCACTC</t>
  </si>
  <si>
    <t>TTACGTATTGCTAAGGTTAACAGACGACTACAAACGGAATCGACAGCACCGGTAATTCCAGCTCCAATAGCGTATATTAAAGTTGTTGCAGTTAAAACGTCCAGTCGAACGTTTGCCTTTTTGTTTGAGCCTCATCATTCAGTTGTTGAGGTGGTTTCAGACTGGGTACAAGTCTAGATGGTTCTGGTCTTCTGGATTGGGATCTATTCACTAGGCGTATTACCATGAGCAAATCAGAGTGTTTAAAGCAGGCTTTTAAGCTTGAACGTGTTAGCATGGAATAATGAAATATGACCCAGGGTCTATTTCGTTGGTTTTGAGACCTAAAGTAATGATGAATAGGAGTGGTCGGGGGCATTTGTATTTCGGCGCTAGGAGGTGAAATTCTTGGATTGCCGGAAGACAAACTACTGCGAAAGCATTTGACCCAGGACATTTCCATTGATCAAGGGCTAAAGTTGAGGGATCGAAGACGATTAGATACCGTCGTAGTCTTAACCACAAACGATGCCGACTAGAGATCGGGGCTTGGCTATTAAGGCTTGCTCGGGATCTTAGCGAAAGCAAAGTTTTTGCCTTGGGGAGTACGGCTCGCAAGACTGAAACTTAAAG</t>
  </si>
  <si>
    <t>Lichtheimia hyalospora</t>
  </si>
  <si>
    <t>GATGCCACCCTGTACAAAAAAGGACTGATACCGGCCCAGTTGGGCGGCACCTCGTCGGTGTTCGAGATCGACACCAAAACCGGCGATACCCGCGAGGTCCGGGGCACGGCCGCCGTGGGCCTGCTCTCGGCAAAAGCCAGTGTGGAAGGCCCCATGGCAAGGGACAAAGCTTCGTACTTTGTAGCCGCCCGCAGAACCTATCTCGATCTGTTTTTAAAACTTTCGGATAAATACCGCAACAACCGGTTGAATTTCTACGACCTTAACGCTAAAATGCATTACGCGGCCAGGAGAGACGACCGGCTTTCGCTGGCGTTCTTTTCGGGCATGGACCGTATGGGGCTGGAAGACCTCGTGGATATGAAGTGGGGAAACAATACGGTTTCGCTGCGGTGGTTCCACCGTTACCACGACCGGTTGCAGGCCTCGACGTCGCTGTTCCATTCCTCGTACTCTTCGGAACCCGGCAACATCGATATTCTCGACTCGCAGAACAGTTTTGAGAGTTACATCCGCCAGGCGGCATTCGGCACGCCGCCACCTGGTCGTCAGGCAGGCACCTGCTTCGGTTCGGCCTCCAAACGGCCTATATCGGCCTGAAATCGGCCGAATGGGACCTGCTGAACTACCCGGTTTCTAATCCCCTTAGATAGTCTGGGCTGCGAAAGCACGGTCTATCGATCCTTTTCCAGCTCGACGAGTTTTCGGCAAGAGGTGTCAGAAAAGTTACCACAGGATAACTGGCTTGTGGCGGCCAAGCGTTCCTTGGCGACGTCGCTTTTTGATCCTTCGATGTCGGCTCTTCCTATCATTGCGAAGCAGAATTCGCCAAGCGTTGGATTGTTCACCCACTAACAGGGAACGTGAGCTGGGTTTAGACCGTCGTGAGACAGGTGATCCTTCTGCAGGTTCACCTACGGAAACCTTGTTACGACTTTTACTTCCTCTAAATGACCAAGTTTGACCAGCTTTTCGGTTCCAAGATGGAGTTACCCCCTTCTTTAAACCAATCCGGAGGCCTCACTAAGCCATTCAATCGGTAGTAGCGACGGGCGGTGTGTACAAAGGGCAGGGACATGTCCAACGCAAGCTGATGACTTGCGCTTACTAGGAATTCCTCGTTGAAGAGCAATAATTACAATGCTATCCCAGCACGACGGAGTTTCACAAGATTTCCAGACCTCTCGGCCAAGGTTAATACTCGTTGGCTCCGTCCAGTGTAGCGCGTGCGGCCCAGAACGTCCTAAAGGCATCACAGACCTGTTATTGCCTCAAACTTCCATCGACTTGAAATCGATAGTCCCTCTAAGTGACTATACCAGCAAAAGCTAGCACTATTTAGTAGGTTAAGGTCTCGTTCGTTATCGCAATTAAGCAGACAAATCACTCCACCAACTAAGAACGGCCTGCCACCACCCACAAAATCAAAGAAGAGCTCTCAATCTGTCAATCCTTATTGTGTCTGGACCTGGTAGGTTCCCCGTGTTGAGTCAAATTAAGCCGCAGGCTCCACTCCTGGTGGTGCCTTCCGTCAATTCCTTTAAGTTTCAGCCTTGCGACCATACTCCCCCCAGAACCCAAAGACTTTGATTTCTCGTAAGGTGCCGAGTGCGTCAAGAACAACACCCGATCCCTAGTCGGCATAGTTTATGGTTAAGACTACGACGGTATCTGATCATCTTCGATCCCCTAACTTTCGTTCTTGATTAATGAAAACGTCCTTGGCAAATGCTTTCGCAGTAGTTAGTCTTCAGGTAATCCAAGAATTTCTCTGACAACTGAATACTGATGCCCCCGACCGTCCCTATTAATCATTACGATGGTCCTAGAAACCAACAAAATAGAACCATAACGTCCTATTCTATTATTCCATGCTAATATATTCGAGTAAAGGCCTGCTGAACACTCTAATTTTTTCAAAGTAAAAGTCCTGGTTCGCCAAACACCACAAAAAAAAAAAAAAAAAAAAAAGGGGCGAAAAGGTTAGCCGAAGGAAAGGCTCAGTTGGGTCCAGTACTCCGCCAAAAATGGACCAGCCAACAAGCCCAAGGTTCAACTACGAGCTTTTTAACTGCAACAACTTTAATATACGCTATTGGAGCTGGAATTACCGCGGCTGCTGGCACCAGACTTGCCTCAATTGTTCCTCGTTAAGGTATTTACGTGTACTCCATTCCAATTACAAGACCCGAAAGGGCCCTGTATCGTTATTTATTGTCACTACCTCCCCGTGTCCGGGATTGGGTAATTTGCGCGCCTGCTGCTTCTTGGATGTGGTAGCCGTTTCTCGGGCTCCCTCTCCGGAATCGAACCCTTATTCCCCGTTACCCGTTGAAACCATGGTAGGCCACTATCCTACCATCGAAAGTTGATAGGGCAGAAATTTGAATGAACCATCGCCAGCACAAGGCCATGCGATTCGAAAGTTATTATGAATCATCAAAAGGCTCCGAAAAGCATTGATTTTTATCTAATAAATACATCCCTTCCAAACAGTCGGGATTTTTAGCATGTATTAGCTCTAGAATTACCACGGTTATCCAAGTAGTGAAAGTGCTATCATTAGGCATTAACTGATTTAATGAACCATTCGCAGTTTCACTGTATAAATTGCTTATACTTAGACATGCATGGCAATCTTTGAAACAAGCATATGACTACTGGCAGACCTGTCTCACGACGGTCTATCGATCCTTTTGGCTCGAAGAGTTTTCGGCAAGAGGTGTCAGAAAAGTTACCACAGGGATAACTGGCTTGTGGCGGCCAAGCGTTCGCCAGCGACGTCGCTTTTTGATCCTTCGATGTCGGCTCTTCCTATCATTGCGAAGCAGAATTCGCCAAGCGTCGGATTGTTCACCCGCTAACAGGGAACGTGAGCTGGGTTT</t>
  </si>
  <si>
    <t>CCAGCTCACGTTCCTATTAGCGGGTGAACAATCCGACATTTTGAGACTTCTGCGTCTCAATGATAGGAAGAGTGACATCGAAGGATCAAAAAGCAACGTCATATGAACGCTTGGCTGCCACCATTCGTTTTCTCTGTTGTTTTCTGTCACCTCTAGCCAGAACCTTTCTGGTTAAAGGATCGATAGGCCATGCTTTCGCAGTTCATTATTCGCACTGGAAATCAGAATCAAGCTGACTTTTCCCCTTTCAGTCTACGAGAGATTTCTGTTCTCTCTGAGTCAACCTTAGGGCATCTGCGTTGCAGTTTAGCAGATGTGTCACCGCCCCAGCAAACTCCCCATCTGAATATGTCCTCTGGTGGTTACGATCGGTAGAGAACCTTAAATCTAGAACACGTAAGAAAACGTGATTCGTTGGTAAGAGTAAGTAGAGCGACAGTGGAAGTCGTGGTATTTCACTGTCGCCAAAGCTCCCACGTATGCTACACCCCAGTCACTCCACAAAGTCAGACTAGAGTCAAGCTCAACAGGGTCTTCTTTCCCCGCTTATTTTTTGCCAAGCCCGTTCCCTTGGCTGTGGTTTCGCTAGATGGCGGATGGGGACAGTAGGAAATCTCGTTGATCCATTCATGCGCGTCACTAATTAAATGACGAGGCATTTGGCTACCCTTAAAGTCATAGTTACTCCCGCCGTTTACCCGCGCTTGGGCGAATTTCATCGCAATGACATTCAGAGCACTGGGCAGAAATCACATTGCGTAAAGCGTTGCCGCTTGTCGCAATGCTTTGTTTTAATTAAACAGTCAGATTCCTCTTGTCCGTACCAGTTCTGAGTTAACCGGTTAATGCCAACAGGATAGCCGAAGCTCCTAGCGTAGGCCACCGCTCGTTGCAACTCCCAAAGCGAGTAAACCCACTCCAAGAAAAGCGAGAACGATGAACTGTCACTAGGCCTGAAAGCTCGGCCCTCAGAGCCAATCCTTTCCAAAGGTACAGATCTAATTTGCCGACTTCCCTCATCCGCCTTATTCTATCGACCAGAGGCTACGCGAACCTAGGAGACCTGATGCGGTTTAGGGTACGCATTTTAGAAAATTGAGTAAACCATCCCTTGGGGTTTCAAAGGCCAATAGAAGCGCACCGGTTCCAACAGGTGTAAGAAACTATGCCAACTTTTCATCCTTTTCTCCAGACAAGCCGATTCAAAGGAGTGTTGTCGAAACAAGATAACGCTCCCCAGGGCTTCTCCACACAACCCAAGTTCAGTTGTGTTACCACAACCCCACCAACTAAGTAAAGGAATTTGGGCCTTTTCCCTTTCAGGTCAAGAGGCGAAGCCTCACTCTGAAGGAAGTAAGCTTTTCCTTTAGGGCCGACTAACCCGAGGACAATTGCTGTTCTCCCGGAACCCTTATCCACTTCGGTCATCAAAGTTCTCATTTGATTAATTGCTACTACCACCAAGATCTGCACTAGAGGCTGCTCCAGCTAGTTCACAACTAAGCCTTCTCAGCAACCCCCACGCCCTCCTACATCGTCTTCATTCATTGACGGTTTGGTATCGGCCGCCCGCTTGAGCGCTATCCATTTTCAGGGCTGGTCCATTCGGCAGGTGAGTTATTACACACTCCTTAGCGGATTTCAACTTCGCATTATTTTGCTATGCTGTTTCAATGAACCAACACCTTTTATGGTGTCTGATCAGCGAGTGTTGAGCGCCTTAACCAAACGTTAGGAGCATCCTCATCGCCAGTTCTGCTTACCAAAACTGGCCCACTAGAAAGTATCATTCATCTACCGAGCTAACTGAATTAGCAAGTACTTAAACTGTTAAAGTTTGAGAATAGGTCGAGGGCGGGATGCCCCGAGGCCTCTAATCATTCGCTTTACCGGATCTAACTGATCATTAACTGTATCCTGAGGGAAACTTCGGAGGGAACCAGCTACTAGATGGTTCGATTAGTCTTTCGCCCCTATGCCCAAGTTTGACGAACGATTTGCACGCGTCAGTATCGCTACGAGCTACCAGGGTTTCCCCTGGCTTCACCCAACTCAGGTATAGGTCACCATCTTTCGGGTCTAAACGAAAATGCTCAGGCTCGAACTTCAAAAGTCGGCTGCGGCATTGCTGTAATTCACAGCTTTTGCTTTCACTACGCGTCTGGGTTTGACGCATACACTCGCACTTTCGTTTAACTCCTTGGTCCGTGTTTCACAAGACGGGTCGTCTGTACATGCTTCTCAGCAGCTTGCGCTTCCGTTAACTTCTCGATGTTAAGAACAAAGTTATAGCCGAAGCACGACAACAAGTCATAACATACGGAAGTGATGTCGAGTAATGTAATGAGAGAAATCTCTCAAACATTGGGTCACGGACAGCCGCTTCCCCCTCAGCGATTTCAGGTATTTTAACTCTCCTTTCGAAGTGCTTTTCAACTTTCCCTCACGGTACTTGTTTGCTATCGATCTCTCACCGTTATCTAGCCGTGGATGGAGGTTACCACCCATTTTGCGCTCTACTCCCAAAGAGCGTGACTCATTAGATTAAAGCTGTACTTGAGAATGGCTGGAATAAGAACGTTGTCACCTTCTCTGGCGTGCGCTTCAGGCATCTTCTTCCCGGTTCTCAATAGCTATAACCTCGATGCACAACTCCGTCAGAAACGGATTAACATCGCGGAGCTCCCACTTCGTTCGCCACTACTACAGGAATCCCAGTTGGTTTCTTTTCCTCCGCTTAATTATATGCTTAAATTCAGCGGGTAGCCTTCTTGAGCTCGGATCATGATTTGAGAAGCCTACATAGTACACTCAACATTTCACTGTGAGTTCCACCAAGGTAGCATCATTTAGCCAGTGACGTAAAGGACACTGTATGTCATCCATTCAATCGAAATTGATTGGAGAAATCTATACGATACCGAGCCAAACATACTTCAGGCCGAGGCCAGAAGTACCTTTTGCGTTCAAGAGATCTGACTGAATGTAAAATTTCGCAAGTCATACTGCTTATCGCGGTTTGCTGCGTCCTTCCTCGGTGTGAGAGTCGAGTCATCCATCGCTGGGGATTTTTAATTCTCATTATTCAATGATTTAAGTCATGTTATTAACATTGAGTGCTTAGGTTGGTTGTTGTTTAAACAGGAATGATCCATCCGCAGGTTCACCTACGAGATGCAAATGTTACGACTTCTTCATCCTCTAGATGAAATAAGACTCTGGCTGCTTCCTCACGAGCGATGTAGAACAAAGCAGCTACGTAAGTCCATGTAATTTGCCGGATCATCCAATCGGTTGAAGCGACGGGCGGTGTGTACAAAGGCAGGGACGTAATCAGCACAAGGTGATGACTTGTCCTTGCGAATTCCTCGTTCATGACCCATAATTGCAAGGTCAATCCCTATCACGACGGAGTTTCACAAGATTTCCCGCTCCGTACGGAGTAGAGGTGGAAACTCATGACTCCGTCATTGTAGCGCACGTGCAGCCCAGGCCATCTAAGGGCATCACAGACCTGTTATAGGCTCGAACTTCCTTGTGATAGTCTCACCAAAGTCCCTCTAAGAAGCCAATCGCTTACAGAAGTAAACGAAGGCTAGTTAGTAGGTCGAGGTCTCGTCCGTTATCGGAATTAACCAGACAAGTCACCTCACCGACTAAGAACGGCCATGCACCACCACCATAGAATCGAGAAAGAACTCTCAATCTGTCAATCATGACTATGTCCGGGCCTGAGTGAGGTTCCCCGCGTTGAGTCAGAACAAGCTGCAGGCTCCACTCCTGGTGGTGCCCTTCCGTCAATTCCTTTAAGTTTCAGCCTTGCGACCATACTCCCCCCAGGGCCAGAGACTTAGATTTCTCTTGGGCTAAAAAGGATATTTTGTACAGCCTCCGATCCTCAGTCGGCATAGTTTATAGTTGGGACTACGACGGTATCTAAGCGTCTTCGATCCCCAACTTTCGTCCTTGATTAACAGGCACACACTGGGCAAATGCTTTCGCACTTGTTTGTCTTTGCTAGGTCTTAGATTTCACCTCTCTCCAGCAAGTACAGATGCCCCGTATGTCCTTATCAACCATTACTTGTGTTCCACGTCACCAACAAGGAGGATCACAGTCCTATATTGTTATTCCATGCTGAGCTGTTTAAGCTATAGCCTGGTTGGAGCACTCAATTTGCTCAAAGTAACCAGGCAGTACAGCCAGAAGCTATCCCACCCGAGTCCGAAACAGAAAGTGCACTGACTAACACGAAGTCAGACAGGCGTCTCTCCGATTTGGACGAAATCCAACTACGGACGCTTTAACTGCAGCAATTTTAATATACGCTATTGGAGCTGGAATTACCGCGGCTGCTGGCACCAGACTTGCCCTCCAATAGGTACTCGCAAATAGTTTTGCTTTCCGCTCATTACAATCACAGAACCGAAAAGGACACGAGGTTGCCTATTTCTGGTCACTACCTCCCCGTATCGGGATTGGGTAATTTACGCGCCTGCTGCCATCCTTAGATGTGGTAGCCGTCTCTCAGGCTCTCTCGGAATCGAACTGAATTCCCCGTTACCCGTCACAGCCTCGGTAGGCCAATACCCTACCGACGGGAGCTGATAGGTCAGAAACTCGAACGAACTGTCGCAAGATGCAGTCCGCTCGGTCATTATGATCACCAAGAACAGGTCGAAAACCTGGATGGTTCCAATATAATGAATGCCACCCTTCTACGAAGTCGGGTGTTTTTGCATGTATTAGCTCCAGAATTACCATGGATATCCATTTGGTAATGATCTTCGTGTAGATTATAACTGTTGTAATGAGCTATTCGCAGTTTTGCCGTATAAAAGCTTATACTTAGACTTGCATGGCTTAATCTTTGAAACAAGCATATGACTACTGGCAGACGTA</t>
  </si>
  <si>
    <t>CCAGCTCGCGTACCACTTTAAATGGCGAACAGCCATACCCTTGCGGGACCTACTTCAGCCCCAGGATGTGATGAGCCGACATCGAGGTGCCAAACACCGCCGTCGATATGAACTCTTGGGCGGTATCGGCCTGTTATCCCCGGAGTACCTTTTATCCGTTGAGCGATGGCCCTTCCATTTCAGAACCACCGGATCACTAAGACCTGCTTTCGCACCTGCTCGCGCCGTCACGCTCGCAGTCAAGCCTAGCTTATGCCTTTACACTAACCTCCTGATGTCCGACCAGGATTAGCTAACCCTTCGTGCTCCTCCCGTTACTCTTTAGGAGGGGGCTTCGCCCACGATCAAACTACCCGCAGACACTGTCACCAGCCCAGATCATCTAAAGGACCTGTCTCACGACAGTCCTAAACCCAAGCTCGCGTACCTCTTTAAATGGCGAACAGCCATACCCTTGAGACCTGCTTCAGCCCCAGGATGAGATGAGCCGACATCAGTGCCAAACACCGCCGTCGATACATGAACTCTTAGGCGGTATCGGCCTGTTGTCCCCAGAGTACCTTTTATCCGTTGAGCGATGGCCCTTCCATACGAACCACCGGATCGCTAAGACCTACTTTCGGCACCTGCTCACGACTTGTGGGTCTCGCAGTTGCTTGCTTTTGCCTCCTTCTGCGTGATTCGACCACGCTGAGCGCACCTTCCTCCGTTACTCTTTAGGGAACCTTATCAAACTACCCACCGGGCCCGATTATCGTCCCGGATCACGGGACAGAGTTATTCTCAACATTACCAGGGTGGTATTTCAAGGACGGCTCCTAGACTAGCGTTCCGGCTTCAAAGCCTCCCACCTATCCTACAAGTGAAAAAAAAAGAGAGAGAGAGAGAGAGAGAGAGAGTCAGTTCAGTGTCAAGCTGCACGTGGAGGTTCACGGGAGTCTTTCCGTCGCCGCAGGTACTGCATCTTCACAGCGATTTCGATTTCACTGAGCCTCTGCTGGAGCAGCGCCGCCGCCATTATGCCATTCGTGCAGGTCGGAACTTACCCGACGAATTTCGCTACCTTAGGACCGTTATAGTTGGCGCCGTTTACTGGGGCTTCGATCAAGAGGCTGGCTTTTCGCCCCATCAATTAACCTTCCCAGCACCGGGCAGGCATCACACCCTGCCGTCCACTTTCGTGTTTGCAGAGTGCTATGTTTTTAATAAACAGTTGCAGCGGCCTGGTTTCTGCGGCTGTCGTCAGCTCAGGAAGCGAGTTCCATCACCAACAACAGCGTACCTTCTCCGAAGTTACGGTACCATTTTGCCTAGTTCCTTCAGCAGAAGTTCTCTCAAGCGCCTGGTCTACTCGACCTGACCACCTGTGTCGGTTTCAGGTACGATTCCTGTGTAACTGAAGCTTAGAGACACTTCCTGGAAGCATGCTCAACCACTTCGCTGTACAAGTACAGCTTGCTATCAGATCTCGGCGCATAAATTACCCCGGATTTGCCTAAGATACATGCCCTACATCTTTCACCTGGACAACCAACGCGGGCGTTGCGTATACCGACCTGTCGCGTGCGGGCAATAGGATAATATTTCTTGTCGTACGCGCCAGCTCGCTGCGGGGATGAACTCACCCAACCCCGATTAACGTTGGACGCAAGACCCTTAGTCTTTCGGCGAACGGGTTTTTCACCCGTTTTGTCGTTACTCACGTCAGCATTCACTTCTGATACCTCCAGCATGCTTCTCAACACACCTTCATCGGCTTACAGAACGCTCCCCTACCACGTATACAAAGTATACATCCGCAGCTTCGGCACATAGTTTTAGCCCCGTTACATCTTCCGCGCAGGCCGACTCGACTAGTGAGCTATTACGCTTTCTTTAAAGGGTGGCTGCTTCTAAGCCAACCTCCTAGCTGTCTATGCCTTCCCACATCGTTTCCCACTTAACTATGATTTTGGGGCCTTAGCTGGCGGTCTGGATTGTTCCTCTTGACTACGGACGTTAGCACCCGCAGTCTGTCTCCCGGATAGTACTCTGGTATTCGGAGTTTGCATCGGTTTGGTAAGTCAGGATGACCCCCCTAGCGAAACAGTGCCCTACCCCTATGAGTATTCGTCCGAGGCGCTACCTAAATAACTTTCGAGAGAACCAGCTATCACCAGGCTTGATTAGCCTTTCACCTATCCACAAGTCATCCCCTGGCTTTTCAACGACGGTGGGTTCGGTCTCAGTTGAGTATTTACCCAACCTTCAACCTGCTCATGGATAGATCGCCTGGTTTCGGGTCTATACCCGGCAGCTAAACGCCCTATTAAGACTCGATTTCTCTACGGCTCCCCTATACGGAGGTTAACCTTGCTACTGAATATAAGTCGCTGACCCATTATGCAAAAGGTACGCAGTCACACCACGAAGGTGCTCCCACTGCTTATGCATGCGGTTTTCAGGATCTATTTCACTCCCCTCCCACAGGGGTTCTTTTCGCCTTTCCCTCACGGTACTGGTTCACACTATCAGTCCAGTCAGGAGTATTTAGCCTTGGAGGATGGTCCCCCCATATTCAGACAAGGTTTCACGTCTCCGCCCTACTCGTCATCATTATGTGTGCCCTTCCGTCAATTCACCTGTCTCACGACAGTCTAAACCCAACTCGCCATACCACTTTAAATGGCGAACAGCCATACCCATAGGACCGGCTTCCAGCCCAGGATGTGATATGAGCCGACATCGAGGTGCCAAACACCGCCGTCGATATGAATCTTGGGCGGTATCAGCCTGTTATCCCCGGAGTACCTTTTATCCGTTGAGCGATAGCCCCTTCCATACAGAACCACCGGATCACTAAGACCTACTTTCATGCCTGCTCGACGTGTCTGTCTCGCAGTCAAGCGCGCTTTTGCCTTTATACTCCACTGCGACCGATTTCCGACCGGTCTGAGCGCTGCTTATTACTCCTCCGTTACTCTTTAGGAGGAGACCGCCCCAGTCAAACTGCCCACCATACACTGTCCTCGATCCGGATCACGGACCAAGGTTAGAACCTCAAGCATGCCGGGGTGGTATTTCAAGGATGGCTCCACGCGAACTGGCGTCCACGCGCTAGAAGCCCCTCCCACCTATCCTGCAAGCAGGCTCAAGTCCGTTGCAAAGCTACAGTAAAGGTTCACGGGGTCTTTCCGTCTAGCCGCGGATACCATCTTCACAGCGATTTCAATTTCACTGAGTCTCAGGTAGGTAGCGCCGCCATCGTTACGCCATTCGTGCAGGTCGGAACTTGCGAACAAGGAATTTCGCTACCTTGGGACCGTTATAGTTACGGCCGCCGTTTGCAGGGCTTCGATCAAAGGCTTCGCTTGCGCTAACCCCATCAATTAACCTTCCGGCACCGGGCAGGCATCCCCACTACGTCCACTTCCGTGTTGCAGGTGCTGTGTTTAATAAACGGTCGCAGCGGCCTGGTATCTTCGACCAGCCAGAGCTTACGGAGTAAATCCTTCACCCTAGCCGGCGCACCTTCTCCCGAAGTTACGATTGCCATTTTTGCCTAGTTCCTTCACCCGAGTTCTCTCAAGCGCCTTGGTATTCTCTACCCGACCACCTGTGTCGGTTTGGTGGTTCTGGTTACCTGAAGCTGAAGCTTTTCTTGACATGGCATCAACCACTTCGTCATCTAAAAGACGACTCGTCATCAGCTCTCCGGCCTTGAAACAAGCATATGACTGCTGGCAGCCAAGACGTCTAAGGGCATCACAGACCTGTTATTGCTCAATCTCGTGCGGCTCGAAGCCGCCGGTCCCTCTAAGAAGAATTTTAATACGTCGCCAGTGAGTTGCGCGACACGGATGCCGCGCACACCTAAATGGCGACGCTTCTTCTAACAGGCTAGAGTCTCGTTCGTTGCCGGAATTAACCAGACAAATCGCTCCACCAACTAAGAGCTGACCATGCACCACCCACCGAATCAAAGAAGAGCTGTTAATCTGTCAATCCTTCCGGTGTCCGGGCCTGGTGAGATTTTTGTGTTGAGTCAAATTAAGCCGCAGGCTCCACTCCTAATTGTGC</t>
  </si>
  <si>
    <t>Bacteria</t>
  </si>
  <si>
    <t>CCAGCTCGTTCCCTATAAACGGGTGAACAATCCGACACTTTGAGACTTCTGCGTCCCAATGATAGGAAGAGCCGACATCGAAGGATCAAAAAGCAACGTCGCTATGAACGCTTGGCTTCCACAAGCCAGTTATCCCTGTGGTAACTTTTCTGTCACCTCTAACCAGAACTGTTCTGGATTTAAAGGATCGATAGGCCATACTGCGTAGTTCATAATCGTAATGAAATTCTGAATCAAGCTGACTTTTCCCCTTTTAGTCTACGAGAGATTTCTGTTCTCTCTGAGTCAACCTTTGGACATCTGCGTTGCAATTTAGCAGATGTGCCGCCCCAACCAAACTCCCCATCTGACAATGTCCTCTTTGATGTGAGTTATCAACCGACATTCATCCAACTCACAGAGCTGCACCATTTAAAATTAAGCAGAACAACGCTACAGGTCGTGGTATTTCACTGTCGGGCAAGCCCTCCACGTATGCTACACCCCATAGGTTATTCCACAATATCAGACTAGAGTCAAGCTCAACAGGGTCTTCTTTCCCCGCTTATCATGCCAAGCCCGTTCCCTTGGCTGTGGTTTCTCAGATAGCAGATGGGGACAGTAGGAATCTCGTTAATCCATTCATGCGCGTCACTAATTAGATGACGAGGCATTTGGCTACCGTAAGAGAGTCATAGTTACTCCCGCCGTTTACCGCGCTTAAGTGAATCTCATCACCGTGACATTCAGAGCACTGGGCAGAAATCGCATTATGTCAACAGCAGTAAAGCCTATCATAATGCTTTGTTTAATTAAACAGTCAGATTCCTCTGGTCCACACCAGTTCTGAGTTGACAGCATAACTGTCCTCAGAGCCAATCCTTTACCGAAGGTTCGGATCTAATTTGCCGACTTCCCTCATCTGCTTTGCTCTGCTAAACCAAAGGTACCTAACCTTGGAGACCTGCTGCAGTTATTGGTACGGTTCAAAGAACTCCATAGACCACTGGTTTTTCAACGGCCCCGAGTTGTTGTCGTAGACTCTCAAATGAGAATCCTCTTTCACAGTTTACTCTCTTCTCAAACCAACATTATTCGAGAGATATCTGAGTTGAAAGGCATAGACGTCGCCTCGACACTCCTCCAGCCCCCAGTGCCCTTTGTGTTACCACTCTAAAGTCCTTTGAGTTAAGGAATATTAGCCTTATTCTCTTTCGGGAATCATTTGAGCTAATAAACCCTTAGAACCGACTAACCCGAAACCAACTACTGTTCCTTCGGAACCCTTATCCACGTAGGCCGTTGCCATTCTCAGACAACTATTTACTACTATCACCAAGATCTGCACTAAATTCACCTCCTGTTGCACTCACGCACAACATTCTCTGGTAAATTCACGCCCTCCTACACGTTGTTTCTTTGCAACAACGACGCATTATCGACTTTTCGCTGACCGTCATCAATTTTCGGGGCTGGTCCATTCGGCAGGTGAGTTATTACACTCCTTAGCGGATTTCAACTTCCATGACCACCGTCCTGCTGTCTCAATGAACCAACACCCTTTGTGGTTTGTCATAAGCGGAAATTAGACGTCTTATATGCGTTTAAGGAGCATCCCTCATCGCCAGTTCTGCTTACCAAAAATGGCCCACTATGAACTTACGCATAGTCACCGCCAATTATCAACTTAATTGGCTTTATCGATTTCATTTGAAGTTTGAGAATAGGTCGAGGACCAAGATGTCCCCAGTGCCTCTAATCATAAGCTTTACCGAAACCTACTTTTCAAGTTCAAGCTATCTAAGGAAACTTCGGAGGGAACCAGCTACTAGATGGTTCGATGAGTCTTTCGCCCTATACTCAGGTAGGATGAACGATTTGCACGTCAGTATCACATTGAGCCTCCACCAGGATTTCTCCTGGCTTCACTCTTCCCAAGTATAGATCACCATCTTTCGGGTTTAATAAGCTATGCTCTATCACAATTTTCACAGGAATTGCTTGTTCCGCAATCACTTTCATTCCGCACTTGGGTTTTTTGCCTAGCACTTGCACAGCTTAATAACTCCTTGGTCCGTGTTTCAAGACGGGTCATAATCAAAGCCAAACACAGCCATTTAAACATGACCATGCTGCACAAGGCGGTTCCTGATTATGCTTCCAGCCCAGCGATTTCATGTTTTTTGAAGCTCCTCTCGAGTTCTTTTCAGCTTTCCCTCATGGTACTTATTCGCTATCGGTTTTGCAGTAATACTTAAACTTCGAGCACAGATGCGCCCGCTTTAAACTCCACTCTCAAGGAGTTTGACTCTACTTTCCATAACGTTGCGTTCTCATCTTAGAAACAGGCCTGTCACCGTTTTTCAGTTAGTCTTCCACCTCAACAACTAATTAGATCCCGCTCCGCTATTGTTCCCACATGTCATTGCAAGCAATGATTCGTGGACAGTTTGAATCCCTTTCGCTCGCCGCTAGTCAGGATGTCACTGTTGTTTTCCTTTCCTCCTCTTAATTATATGCTTAAATTCAGAGGGCTTCAATTAGATCAGGTTCAATTTAGTAACAACATTCGTTTTACTTAAAGTTTTGAAATTCCACGTTACTGGAATTTAAACCGCTCATACGTCAAAGACGTAAACACTCTAATTGTACTCTAACGAGTGCAATACATTCAGAAATGATGCTTTCGAAAATGCTCGGATCGGCACCCATACTGCGGACGCACATCTTTCATCAAACTGCAAACCAAGTAATCCATCGCTGAACCTTTAAATAGTTTGATTAATGTCTGTCAATGCCTAAATCCTTCTAGATGATGTGTGTTTTTAACACTTTTTTAATGATCCATCCGCAGGTTCACCTACGGATACCGTGTTACGACTTCTTCATCCTCTAGATGACAAGGCTTATTCGCTTCCATTTCACAAAGGCGAATGCCAATATAAAATCCGCAGAATTCACCGGATCATCCAATCGGTTGAAGCGACAGGCGGTGTGTACAAGGCAGGGACCAATCGCACAGTATTATGAACTATACTTACTAGGAATTCCTCGTTCATGAGCCAAATTACAAAACTCAATCCCTAACACGACACTATTTTCGTGATTTCACATTTCTTTCGAAATGTAAGGCTTGTTGCTAGAGTCATTGTAGCCACGTGCAGCCCAGGCCATCTAAGGGCATCACAGACCTGTTATAGCCTCGATCTTACCTGGGGTAAAACCCCCAGAGTCCTTCTCCTGCAGCTTCTCAGGAACGATGAGAAGAGAAAAGGAGACAGCCGAGATCTCGTCCGTTATCGGAATTAACCAGACAAGTCACCTCACCGACTAAGAACGGCCATGCACCACCACCCATAGAATCAGAAAGATCTCTTCACCTGTCAATCATAACCATGTCCGGGCCTGGTAAAATTCCCCGTGTTGACTCAAATTAAGCCGCAGGCTCCCACTCCTGGTGGTGCCC</t>
  </si>
  <si>
    <t>GGGCACCACCAGGAGTGGGAGCCTGCGGCTTAATTTGAGTCAACACGGGGAATTTTACCAGGCCCGGACATGGTTATGATTGACAGGTGAAGAGATCTTTCTGATTCTATGGGTGGTGGTGCATGGCCGTTCTTAGTCGGTGAGGTGACTTGTCTGGTTAATTCCGATAACGGACGAGATCTCGGCTGTCTCCTTTTCTCTTCTCATCGTTCCTGAGAAGCTGCAGGAGAAGGACTCTGGGGGTTTTACCCCAGGTAAGATCGAGGCTATAACAGGTCTGTGATGCCCTTAGATGGCCTGGGCTGCACGTGGCTACAATGACTCTAGCAACAAGCCTTACATTTCGAAAGAAATGTGAAATCACGAAAATAGTGTCGTGTTAGGGATTGAGTTTTGTAATTTGGCTCATGAACGAGGAATTCCTAGTAAGTATAGTTCATAATACTGTGCGATTGGTCCCTGCCTTGTACACACCGCCTGTCGCTTCAACCGATTGGATGATCCGGTGAATTCTGCGGATTTTATATTGGCATTCGCCTTTGTGAAATGGAAGCGAATAAGCCTTGTCATCTAGAGGATGAAGAAGTCGTAACACGGTATCCGTAGGTGAACCTGCGGATGGATCATTAAAAAAGTGTTAAAAACACACATCATCTAGAAGGATTTAGGCATTGACAGACATTAATCAAACTATTTAAAGGTTCAGCGATGGATTACTTGGTTTGCAGTTTGATGAAAGATGTGCGTCCGCAGTATGGGTGCCGATCCGAGCATTTTCGAAAGCATCATTTCTGAATGTATTGCACTCGTTAGAGTACAATTAGAGTGTTTACGTCTTTGACGTATGAGCGGTTTAAATTCCAGTAACGTGGAATTTCAAAACTTTAAGTAAAACGAATGTTGTTACTAAATTGAACCTGATCTAATTGAAGCCCTCTGAATTTAAGCATATAATTAAGAGGAGGAAAGGAAAACAACAGTGACATCCTGACTAGCGGCGAGCGAAAGGGATTCAAACTGTCCACGAATCATTGCTTGCAATGACATGTGGGAACAATAGCGGAGCGGGATCTAATTAGTTGTTGAGGTGGAAGACTAACTGAAAAACGGTGACAGGCCTGTTTCTAAGATGAGAACGCAACGTTATGGAAAGTAGAGTCAAACTCCTTGAGAGTGGAGTTTAAAGCGGGCGCATCTGTGCTCGAAGTTTAAGTATTACTGCAAAACCGATAGCGAATAAGTACCATGAGGGAAAGCTGAAAAGAACTCGAGAGGAGCTTCAAAAAACATGAAATCGCTGGGCTGGAAGCATAATCAGGAACCGCCTTGTGCAGCATGGTCATGTTTAAATGGCTGTGTTTGGCTTTGATTATGACCCGTCTTGAAACACGGACCAAGGAGTTATTAAGCTGTGCAAGTGCTAGGCAAAAAACCCAAGTGCGGAATGAAAGTGATTGCGGAACAAGCAATTCCTGTGAAAATTGTGATAGAGCATAGCTTATTAAACCCGAAAGATGGTGATCTATACTTGGGAAGAGTGAAGCCAGGAGAAATCCTGGTGGAGGCTCAATGTGATACTGACGTGCAAATCGTTCATCCTACCTGAGTATAGGGCGAAAGACTCATCGAACCATCTAGTAGCTGGTTCCCTCCGAAGTTTCCTTAGATAGCTTGAACTTGAAAAGTAGGTTTCGGTAAAGCTTATGATTAGAGGCACTGGGGACATCTTGGTCCTCGACCTATTCTCAAACTTCAAATGAAATCGATAAAGCCAATTAAGTTGATAATTGGCGGTGACTATGCGTAAGTTCATAGTGGGCCATTTTTGGTAAGCAGAACTGGCGATGAGGGATGCTCCTTAAACGCATATAAGACGTCTAATTTCCGCTTATGACAAACCACAAAGGGTGTTGGTTCATTGAGACAGCAGGACGGTGGTCATGGAAGTTGAAATCCGCTAAGGAGTGTAATAACTCACCTGCCGAATGGACCAGCCCCGAAAATTGATGACGGTCAGCGAAAAGTCGATAATGCGTCGTTGTTGCAAAGAAACAACGTGTAGGAGGGCGTGAATTTACCAGAGAATGTTGTGCGTGAGTGCAACAGGAGGTGAATTTAGTGCAGATCTTGGTGATAGTAGTAAATAGTTGTCTGAGAATGGCAACGGCCTACGTGGATAAGGGTTCCGAAGGAACAGTAGTTGGTTTCGGGTTAGTCGGTTCTAAGGGTTTATTAGCTCAAATGATTCCCGAAAGAGAATAAGGCTAATATTCCTTAACTCAAAGGACTTTAGAGTGGTAACACAAAGGGCACTGGGGGCTGGAGGAGTGTCGAGGCGACGTCTATGCCTTTCAACTCAGATATCTCTCGAATAATGTTGGTTTGAGAAGAGAGTAAACTGTGAAAGAGGATTCTCATTTGAGAGTCTACGACAACAACTCGGGGCCGTTGAAAAACCAGTGGTCTATGGAGTTCTTTGAACCGTACCAATAACTGCAGCAGGTCTCCAAGGTTAGGTACCTTTGGTTTAGCAGAGCAAAGCAGATGAGGGAAGTCGGCAAATTAGATCCGAACCTTCGGTAAAGGATTGGCTCTGAGGACAGTTATGCTGTCAACTCAGAACTGGTGTGGACCAGAGGAATCTGACTGTTTAATTAAACAAAGCATTATGATAGGCTTTACTGCTGTTGACATAATGCGATTTCTGCCCAGTGCTCTGAATGTCACGGTGATGAGATTCACTTAAGCGCGGTAAACGGCGGGAGTAACTATGACTCTCTTACGGTAGCCAAATGCCTCGTCATCTAATTAGTGACGCGCATGAATGGATTAACGAGATTCCTACTGTCCCCATCTGCTATCTGAGAAACCACAGCCAAGGGAACGGGCTTGGCATGATAAGCGGGGAAAGAAGACCCTGTTGAGCTTGACTCTAGTCTGATATTGTGGAATAACCTATGGGGTGTAGCATACGTGGAGGGCTTGCCCGACAGTGAAATACCACGACCTGTAGCGTTGTTCTGCTTAATTTTAAATGGTGCAGCTCTGTGAGTTGGATGAATGTCGGTTGATAACTCACATCAAAGAGGACATTGTCAGATGGGGAGTTTGGTTGGGGCGGCACATCTGCTAAATTGCAACGCAGATGTCCAAAGGTTGACTCAGAGAGAACAGAAATCTCTCGTAGACTAAAAGGGGAAAAGTCAGCTTGATTCAGAATTTCATTACGATTATGAACTACGCAGTATGGCCTATCGATCCTTTAAATCCAGAACAGTTCTGGTTAGAGGTGACAGAAAAGTTACCACAGGGATAACTGGCTTGTGGAAGCCAAGCGTTCATAGCGACGTTGCTTTTTGATCCTTCGATGTCGGCTCTTCCTATCATTGGGACGCAGAAGTCTCAAAGTGTCGGATTGTTCACCCGTTTATAGGGAACGAGCTGG</t>
  </si>
  <si>
    <t>TTAAGCCATGCATGTCTAAGTATAAGCAATTTATACAGTGAAACTGCGAATGGCTCATTAAATCAGTTATCGTTTATTTGATAGTACCTTTACTACTTGGATAACCGTGGTAATTCTAGAGCTAATACATGCTAAAAATCCCGACTGTTTGGAAGGGATGTATTTATTAGATAAAAAATCAATGCTTTTCGGAGCTCTTTGATGATTCATAATAACTTTTCGAATCGCATGGCCTTGTGCTGGCGATGGTTCATTCAAATTTCTGCCCTATCAACTTTCGATGGTAGGATAGTGGCCTACCATGGTTTCAACGGGTAACGGGGAATAAGGGTTCGATTCCGGAGAGGGAGCCTGAGAAACGGCTACCACATCCAAGGAAGGCAGCAGGCGCGCAAATTACCCAATCCCGACACGGGGAGGTAGTGACAATAAATAACGATACAGGGCCCTTTCGGGTCTTGTAATTGGAATGAGTACAATGTAAATACCTTAACGAGGAACAATTGGAGGGCAAGTCTGGTGCCAGCAGCCGCGGTAATTCCAGCTCCAATAGCGTATATTAAAGTTGTTGCAGTTAAAAAGCTCGTAGTTGAACCTTGGGCTTGGTTGGCCGGTCCGCCTTTTGGCGAGTACTGGACCCAACCGAGCCTTTCCTTCTGGCTAACCTTCGCCCTTGTGGTGTTTGGCGAACCAGGACTTTTACTTGAAAATTAGAGTGTTCAAAGCAGGCCTTTGCTCGAATATATTAGCATGGAATAATAGAATAGGACGTTATGGTTCTATTTTGTTGGTTTCTAGGACCATCGTAATGATTAATAGGGACGGTCGGGGGCATCAGTATTCAGTTGTCAGAGGTGAAATTCTTGGATTACCTGAAGACTAACTACTGCGAAAGCATTTGCCAAGGACGTTTTCATTAATCAAGAACGAAAGTTGGGGATCGAAGATGATCAGATACCGTCGTAGTCTTAACCATAAACTATGCCGACTAGGATCGGGTGTTGTTCTTTTTTTGACGCACTCGGCACCTTACGAGAAATCAAAGTCTTTGGGTTCTGGGGGAGTATGGTCGCAAGGCTGAAACTTAAAGGAATTGACGGAAGGGCACCACCAGGAGTGGAGCCTGCGGCTTAATTTGACTCAACACGGGGAAACTCACCAGGTCCAGACACAATAAGGATTGACAGATTGAGAGCTCTTTCTTGATTTTGTGGGTGGTGGTGCATGGCCGTTCTTAGTTGGTGGAGTGATTTGTCTGCTTAATTGCGATAACGAACGAGACCTTAACCTACTAAATAGTGCTGCTAGCTTTTGCTGGTATAGTCACTTCTTAGAGGGACTATCGATTTCAAGTCGATGGAAGTTTGAGGCAATAACAGGTCTGTGATGCCCTTAGACGTTCTGGGCCGCACGCGCGCTACACTGACGGAGCCAACGAGTATTAACCTTGGCCGAGAGGTCTGGGAAATCTTGTGAAACTCCGTCGTGCTGGGGATAGAGCATTGTAATTATTGCTCTTCAACGAGGAATTCCTAGTAAGCGCAAGTCATCAGCTTGCGTTGATTACGTCCCTGCCCTTTGTACACACCGCCCGTCGCTACTACCGATTGAATGGCTTAGTGAGGCCTCCGGATTGGTTTAAAGAAGGGGGCAACTCCATCTCGGAACCGAAAAGCTGGTCAAACTTGGTCATTTAGAGGAAGTAAAAGTCGTAACAAGGTTTCCGTAGGTGAACCTGCAGAAGGATCAGGTGCTGTCGATTCCGTTTGTAGTCGTCTGTTTAACCTTAGCAATACGTAACTGAACGAAGTACAAT</t>
  </si>
  <si>
    <t>&gt;consensus_cl_id_5_total_supporting_reads_19</t>
  </si>
  <si>
    <t>ATCCTCTAGATGATAAGGCTCACAACATTTCCTCACGAAGAGCAGTGCAGAGCAAAGCAGCTACGTAAGTCCATGTAATTTGCCGGATCATCCAATCGGTTGAAGCGACGGGCGGTGTGTACAAAGGGCAGGGACGTAATCAGCACAAGGTGATGACTTGTCCTTACTAGGAATTCCTCGTTCATGACCCATAATTGCAAAGGTCAATCCCTATCACGACGGAGTTTCACAAGATTTCCCGCTTCGTACGAAGTAGGGCAGAGCTCGCTGACTCCGTCATTGTAGCGCACGTGCAGCCCGCCATCTAAGGGACGTAAC</t>
  </si>
  <si>
    <t>&gt;consensus_cl_id_4_total_supporting_reads_84</t>
  </si>
  <si>
    <t>GAGAGACCTGTTATTGCTCAATCTCGTGCGGCTCGAAGCCGCCTGTCCCTCTAAGAAGAATTTTAATACGTCGCCAGTGAGTTGCGCGACACGAAGCGCGCACACCTAAATGTCGACGCCTATTTAGCAGGCTAGAGTCTCGTTCGTTATCGGAATTAACCAGACAAATCGCTCCACCAACTAAGAACGGCCATGCACCACCACCCACCGAATCAAGAAAGAGCTGTTAATCTGTCAATCCTTCCGGTGTCCGGGCCTGGTGAGATTTCCCGTGTTGAGTCAAATTAAGCCGCAGGCTCCACTCCTGGTGGTGCCCTTCCGTCAATTCAGGTGCTGTCGATTCCGTTTGTAGTCGTCTGTTTAACCTTAGCAATACGTAACT</t>
  </si>
  <si>
    <t>UnonMet Gb</t>
  </si>
  <si>
    <t>&gt;consensus_cl_id_6_total_supporting_reads_18</t>
  </si>
  <si>
    <t>CTGCGACCATACTCCCCCCAGGGCCCAGAGACTTAGATTTCTCTTGGAGTGCCGAAGGAGTCGTATTTGTACAGCCTCCGATCCTCAGTCGGCATAGTTTATAGTTGGGACTACGACGGTATCTAAGCGTCTTCGATCCCCCAACTTTCGTCCTTGATTAACAGGCACACACTGGGCAAATGCTTTCGCACTTGTTTGTCTTTGCTGGGTCTTAGAATTTCACCTCTCTCCAGCAAGTACAGATGCCCCCGTATGTCCTTATCAACCATTACTTGTGTTCCACGTCACCAACAAGGAGGATCACAGTCCTATATTGTTATTCCATGCTGAGCTGTTTAAGCTATAGCCTGGTTGGAGCACTCCAATTTGCTCAAAGTAACAGAGCGGTACAGCCGAAGCTATCCCACCCGAGTCCGAAACAGAAAGTGCACTGACTAACACGAAGTCAGACAGGCGTCTCTCCGATTTGGACGAAATCCAACTACGGACGCTTTAACTGCAGCAATTTTAATATACGCTATTGGAGCTGGAATTACCGAGGTGCTGTTCAGGGAACAAACCAAGTTACGTTTAACCTTAGCAATACGTAAC</t>
  </si>
  <si>
    <t>GTTACGTATTGCTAAGGTTAAACGTAACTTGGTTTGTTCCCTGAACAGCACCTCGGTAATTCCAGCTCCAATAGCGTATATTAAAATTGCTGCAGTTAAAGCGTCCGTAGTTGGATTTCGTCCAAATCGGAGAGACGCCTGTCTGACTTCGTGTTAGTCAGTGCACTTTCTGTTTCGGACTCGGGTGGGATAGCTTCGGCTGTACCGCTCTGTTACTTTGAGCAAATTGGAGTGCTCCAACCAGGCTATAGCTTAAACAGCTCAGCATGGAATAACAATATAGGACTGTGATCCTCCTTGTTGGTGACGTGGAACACAAGTAATGGTTGATAAGGACATACGGGGGCATCTGTACTTGCTGGAGAGAGGTGAAATTCTAAGACCCAGCAAAGACAAACAAGTGCGAAAGCATTTGCCCAGTGTGTGCCTGTTAATCAAGGACGAAAGTTGGGGGATCGAAGACGCTTAGATACCGTCGTAGTCCCAACTATAAACTATGCCGACTGAGGATCGGAGGCTGTACAAATACGACTCCTTCGGCACTCCAAGAGAAATCTAAGTCTCTGGGCCCTGGGGGGAGTATGGTCGCAG</t>
  </si>
  <si>
    <t>Gs</t>
  </si>
  <si>
    <t>Gryllus sigillatus</t>
  </si>
  <si>
    <t>CCAGCTCACGTTCCCTATTAGTGGGTGAACAATCCAACGCTTACCGATTTCTGCTTCGGTATGATAGGAAGAGCCGACATCCGAAGGATCAAAAAGCAATGTCGCTATGAACGCTTGGCTGCCACAAGCCAGTTATCCCTGTGGTAGCTTTTCTGGCACCTCTAGCCTCAAATTTCGAGGGATCTAAAGGATCGATAGGCCACACTTTCAGGTTGTATTCACACTGAAAATCAAAATCCAAGGGGGCTTTTACCCTTTTGTTCTACTGGAGATTTCTGTTCTCCATGAGCCCCCCTTAGGACACCTGCGTTGTCGTTTAACAGATGTGCCGCCCCAGCCAAACTCCCCACCTGACAATGTCTTCAACCCGGATCGGCCCCCGAAGAGACCTTAATGCTAGAACGTGGGCGGTGAAGCCCGGCTCCGCTTCATTGAATAAGTAAAAACTATAAGGTAGTGGTATTTCACTGGCGCCGGAGCTCCCACCTATACTACACCCCATATGTCTTTTCACAATGTCAAACTAGAGTCAAGCTCAACAGGGTCTTCTTTCCCCGCTGATTCTGCCAAGCCCGTTCCCTTGGCTGTGGTTTCGCTAGATAGTAGATAGGGACAGTGGGAATCTCGTTAATCCATTCATGCGCGTCACTAATTAGATGACGAGGCATTTGGCTACCTTAAGAGAGTCATAGTTACTCCCGCCGTTTACCCGCGCTTGGTTGAATTTCTTCACTTTGACATTCAGAGCACTGGGCAGAAATCACATTGCGTCAACATCACTCCGGCCATCGCAATGCTATGTTTTAATTAGACAGTCAGATTCCCCTTGTCCGTACCAGTTCCTAGTTGGTCGTTAATCGTGCGCCGGACGGCCGAAGCCTACCAAAGGCGTCCCAACTCCGGTGCTGCGGGGCTCCGGTGGGTTGCTCGGCTAGAGTCCTACCTCAGTTCCCGCGCAAGGCCCAGCCACCCGATCCTTAGAGCCAATCCTTATCCCGAAGTTACGGATCCATTTTGCCGACTTCACTTATCTACATTGTTCTATCAACTAGAGGCTGTTCACCTTGGAGACCTGCTGCGGTTATGAGTACGACTTAGCGTGAAAACTATTCCTTCCTGTGGATTTTCAAGGATCGTCGGGAGCGCACCGGACGCCGCAAAAGTATTGCGCTCTTCCAGCCATAGACCCTGTCTCCGGATAAACCGATTTCAGGGTGATAGCTCTTAAGAAAAGAGAACTCCTCCCAGGGCCCACGCCGACGTCCGCGTTCAGTTACGTTACCGTGGAGAATCCACATCTAGGTGCCGGAATTTTAACCGGATTCCCTTTCGGCCACGGCGACTGAGGTCGTCTTTCAAACGGAGCTTCCCCATGCCTTAGGATCGACTAACCCATGTCCAACTGCTGTTCATGGAACCTTTCCCCACTTCAGTCTTCAAAGTTCTCGTTTGAGTATTTGCTCTCCACCAAGATCTGCACTTGGGGCCGTTCGACCCGGGATCACTTCCAAGGCTTAGTCACGGACCCCCACGCCGCCTACTCGTCAGGGCATCGTATCACCCTGACGGCGAGGTATGGGTAACACGGGCTTAAGCGCCATCCATTTTCTGGGCTAGTTCATTCGGCGGGTGAGTTGTTACATTTCTTAGCGGATTCCGACTTCCATAGACACCGTCGGGCTGTCTAGATGAACTAACACCTTTTGTGGTGTCTGATGAGCGTGTGTTCCGGACGCTAACCTGCGTCCGGTTGTCCCGCATCGCCAGTTTCTTACCAAAATGGCCCACTAGTAACGCTTCATTCTAATGTCCACGTTCAATTAAGCAACAAGGGCTTCTTACATATTTAAAGTTTGAGAATAGGTTAAGGTCGTTTCAACCCCAAGGCCTCTAATCATTCGCTTTACCTCATAAAACTGATACGCGTTTCTGCTATCCTGAGGAAACTTCGGCGGGAACCAGCTACTAGATGGTTCGATTAGTCTTCGCCCCCTATACCCAAATTCGACGATCGATTTGCACGTCAGAACCGCTACGAGCCTCCACCAGAGTTTCCCTCTGGCTTCCACTATTCAGGCATAGTTCACCATCTTTCGGGTCCCAACAGCTGTGCTCTTACTCAAATCCATCCGAAGACATCAGGATCGGTCGATGGTGCACCCGTTAGGGGCTCTCACCTACGTTCGCTTTCACTACGCGTACGGGTTTACACCCGAACACTCGCGTAGATGTTAGACTCCTTGGTCCGTGTTTCAAGACGGGTCGTTTACGATCATTATGCCAACGTCCGAGCCGAAGCGCGGTCCTCGGTCTAGGCAGGTCGCAGTTTCAACCTCGGCTATAACACTCCCCTAGGGGCCACCTTCCGAGCCATTGTCCTACCACCCAAACCGATGCTGGCCCAGGTGTAAACGGCTGCCGAGAACCAAGAAGGAAAGGATCGCAAAATACAAGTCTGATCTCAAGCCCTTCCCTTTCAACAATTTCACGTACTTTTTCACTCTCTTTTCAAAGTTCTTTTCATCTTTCCATCACTGTACTTGTTCGCTATCGGTCTCTCGCCAATATTTAGCTTTAGATGGAATTTACCACCCGCAGAGCTGCATTCCCGACAACTCGACTCTTCGAAAGCACTTACATAGAATTGGGCATCATCGCACGGGATTCTCACCCTCTGTGACGTCCTGTTCCAAGGAACATAGACAAGAGCCAACTCCAAAGTTACCTTCTTCAAATTACAACTCGGACACCGAAGGTGCCAGATTTCAAATTTGAGCTTTTGCCGCTTCACTCTCGCCGTTACTAAGGCAATCCCTGTTGGTTTCTTTTCCTCCGCTTATTGATATGCTTAAGTTCAGCGGGTAATCCTACCTGATTTGAGGTCAAACTTGTTTGTTATATTGTAAGGCCGAGCCTAGAATACCGAGAAATATACCATTAAACTATTCAACGAGTTGGATAAACCTAATACATTGAAAGTCATATAGCACTGTCAGTACCACTCATTGCCAATACATTTCAAGCAAACGCCTAGTTCGACTAAGAGTATCCACCAATGCCAAAGCCCGAAGGTGGTTGAGGAGAGAAATGACGCTCAAACAGGCATGCCCTCTGGAATACCAGAGGGCGCAATGTGCGTTCAAAGATTCGATGATTCACGAAAATCACAAGAATTGTATTACTTATCGCATTTCGCTGCGTTCTTCATCGATGCGAGAACCAAGAGATCCGTTGTTGAAAGTTTTGAAGATTTTTTGAATTTAATCAACAAATTGACAATTAAATAAATAACAATTCAATATAAATATTGAAGTTTAGTTCAGTAAACCTCTGGCCCAAACTATTTCTAGTCCAGACCAAAGCAAAAGTTCTTGTAATAACAAAAAACACTGTGTGTAGGTTTTTTCGCCGCGCAATTAAGCGCTGGCAAGGAATACTGTAATGATCCTTCCACACCAGGTTCACCTACGGAAACCTTGTTACGACTTTTACTTCCTCTAAGCCAGCCAAGTTGACCAACTTTTCGGTTCCAAGATGGAGTTGCCCCCTTCTTTAAACCAATCCGGAGGCCTCACTAAGCCATTCAATCGGTAGTAGCGACGGGCGGTGTGTACAAAGGGCAGGGACGTAATCAACGCAAGCTGATGACTTGCGCTTACTAGGAATTCCTCGTTGAAGAGCAATGAGTGCAATGCTCTATCCCCAGCACGACGGAAGGTTTCTGAATTTCCCAGACCTCTCGGCCAAGGTTAATACTCGTTGGCTCCGTCGAATGTAGCGCGCGTGCGGCCCAGAACGTCTAAGGGCATCACAGACCTGTTATTGCCTCAAACTTCCATCGACTTGAAATCGATAGTCCCTCTAAGAAGTGACTATACCGGCAAAAGCTAGCAGCACTATTTAGGTAGGTTAAGGTCTCGTTCGTTATCGCAATTAAGCAGACAAATTATCCACCAACTAAGAACGGCCATGCACCACCACCCACAAAATCAAGAAAGAGCTCTCAATCTGTCAATCCTTATTGTGTCTGGACCTGGTGAGTTTCCCCGTGTTGCGGGAGTCAAATTAAGCCGCAGGCTCCACTCCTGGTGGTGC</t>
  </si>
  <si>
    <t>&gt;consensus_cl_id_0_total_supporting_reads_3</t>
  </si>
  <si>
    <t>CCAGCTCACGTTCCCTATTAGCAGGTGAACAATCCGACATTTTGAGACTTCTGCGTCTCAATGATAGGAAGAGCCGACATCGAAGGATCAAAAAGCAACGTCGCTATGAACGCTTGGCTGCCACAAGCCAGTTATCCCTGTGGTAACTTTTCTGTCACCTCTAGCCAGAACCTTTCTGGACTTAAAGGATCGATAGGCCATGCTTTCGCAGTTCGTATTCTTGCACTGGAAATCAGAATCAAGCTGACTTTTCCCCTTTCAGTCTACGAGAGATTTCTGTTCTCTCTGAGTCAACCTTAGGGCATCTGCGTTGCAGTTTAGCAGATGTGCCGCCCCCCAACTCCCCATCTGAATATGTCCTCTGATACGATCGGTAAGAGAGAACCTTAAATCTAGAACACGTAAGAAAACGTGATTCGTTGTGACAAGTAAGTAGAGCGACAGTGGAGGTCGTGGTATTTCACTGTCGCCAAAGCTCCCACGTATGCTACACCCCCAAGTCACTCCACAAAGTCAGACTAGAGTCAAGCTCAACAGGGTCTTCTTTCCCCGCTTATTTTGCCAAGCCCGTTCCCTTGGCTGTGGTTTCGCTAGATGGCGGATGGGGACAGTAGGAATCTCGTTGATCCATTCATGCGCGTCACTAATTAAATGACGGGGCATTTGGCTACCTTAAGAGAGTCATAGTTACTCCCCGCCGTTTACCCGCGCTTGGGCGAATTTCATCGCAATGACATTCAGAGCACTGGGCAGAAATCACATTGCGTAAAAAGCGTTGCCGCTTGTCGCAATGCTTTGTTTAATTAAACAGTCAGATTCCTCTTGTCCGTACCAGTTCTGAGTTAGCCGGTTAATGCCAACAGGATAGCCGAAGCTCCTAGCGTAGGCCACCGCTCGTTGCAACTCCCAAGCTTGATAAACCCACTCCAAGAAAAGCGAGAACGATGAACTGTCACTAGGCCCTGAAAGCTCGGCCCTCAGAGCCAATCCTTTTTCCAAAGGTACAGATCTAATTTGCCGACTTCCCTCATCCGCCTTATTCTATCGACCAGAGGCTGCGAACCTAGGAGACCTGATGCGGTTTAGGGTACGGCTAGAAAGTGGAGTAAATATCCCTTGGGGTTTCAAAGGCCAATAGAAGCGCACCGGATTTCCAACAGGTGTAAGAAACTATGCCAACTTTTCATCCTTTTCTCCAGACAAGCCGATTCAAAGGAGTGGTGTTGTCAAAGAGCAAAGATAACGCTCCCCAGGGCTTCTCCTGGCAACCCAAGTTCAGTTGTGTTACCACAACCCCACCAACTAGTAAAGGAATTTGGGCCTTTTTCCCTTTCAGGTCAAGAGGCGAGCCTCACTCTCTGAAGGTAAGCTTTTCCTTTAGGGCCGACTAACCCGAGGACAATTGCTGTTCTCCCGGAACCCTTATCCACTTCGGTCATCAAAGTTCTCATTTGATTAATTGCTACTACCACCAGATCTGCACTAGAGGCTGCTCCAGCTAGTTTCACAACTAAGCCTTCTCAGCAACCCCCACGCCCTCCTACACGTCAATGCTAATTTCATTGACGGTTTGGTATCGGCCGCCCGCTTGAGCGCTATCCATTTTCAGGGCTGGTCCATTCGGCAGGTGAGTTATTACACTCCTTAGCGGATTTCAACTTCCATGACCACCGCCCTGCTGTTTCAATGAACCAACACCTTTTATGGTGTCTGATCAGCGAGTGTTGAGCGCCTTAACCAAACGTTAGGAGCATCCCTCATCGCCAGTTCTGCTTACCAAACTGGCCCACTAAGAAGTATCATTCATCTACCGAGCTAACTGAATTAGCAAGGTAGCAAACCCATTTAAAGTTTGAGAATAGGTCGAGGGCGGGATGCCCCCGAGGCCTCTAATCATTCGCTTTACCGGATCTAACTGATCATTAACCCAGCTATCCTGAGAAACTTCGGAGGAACCAGCTACTAGATGGTTCGATTAGTTTTCGCCCCTATGCCCAAGTTTGACGAACGATTTGCACGTCAGTATCGCTACGAGCTTCCACCAGGGTTTCCCCTGGCTTCACCCAACTCAGGTATAGGTCACCATCTTTCGGGTCTAAACGAAAATGCTCAGGCTCGAACTTCAAGAGTCGGCTGCTGTTGCATTGTAATTCACAGCTTTTGCTTTCACTACGCGTCTGGGTTTGACACTACACTCGCACTTTCGTTTAACTCCTTGGTCCGTGTTTCAAGACGGGTCGTCTGTACATGCCACTCTCGACAACTTGCAAAGGCGTACCACACTTCTCGATGTTAAGAACAAAGTTATAGCCGAAGCGACAGCAAGTCATAACATACGGAAGTGATGTCGAGTAATGTAATGAGAGAAATCTCTCAAACATTGGGTCACGGACAGCCGCTTCCCCCTCAGCGATTTCAGGTATTTTTAACTCTCCTTTCGAAGTGCTTTTCAACTTTCCCTCACGGTACTTGTTTGCTATCGATCTCTCACCGTTATCTAGCCGTGGATGGAGGTTACCACCCATTTTGCGCTCTACTCCCAAAGAGCGTGACTCATTAGATTTAAGCTGTACTTGAGAATGGCTGGAATAAGAACAGGGCTGTCACCTTCTCTGGCGTGCCTTTCAGGCATCTTCTTCCCAGTTTCTCAATAGCTATAACCTCGATGCGCAACTCCGTCAGAAACGGATTAACATCGCGGGCTCTTCCCACTTCGTTCGCCACTACTACGGGAATCCCAGTTGGTTTCTTTTCCTCCGCTTAATTATATGCTTAAATTCAGCGGGTAGCCTTCTTGAGCTCGGATCATGATTTGAGAAGCCTACTGTAATTACCTCAACATTTCACTGTATGAGTTCTTACAGGTAGCATCATTTAGCCAGTGACGTAAAGGACACTGTATGTCATCCATTCAATCGAAATTGATTGGAGAAATCTATACGATACCGAGCCAAACATACTTCAGGCCGAGGCCAGAAGTACCTTTGCGTTCAGAGATCTGGTGAATCACGAAATTTCGCAAGTCATACTGCTTATCGCGGTTTGCTGCGTCCTTCCTCGGTGTGAGAGTCGAGTCATCCATCGCTGAGAGTTTTTAATTCTCATTATTCAATGATTTAAGTCATGTTATTAACATTGAGTGCTTGGTTGGTTGTTGTTTAAACAGGAATGATCCATCCGCAGGTTCACCTACGGATACCGTGTTACGACTTCTTCATCCTCTAGATGATAAGGCTCACAACATTTCCTCACGAAGAGCGATGTAGAACAAAGCAGCTACGTAAGTCCATGTAATTTGCCGGATCATCCAATCGGTTGAAGCGACGGGCGGTGTGTACAAAGGGCAGGGACGTAATCAGCACAAGGTGATGACTTGTCCATACTAGGAATTCCTCGTTCATGACCCATAATTGCAAAGGTCAATCCCTATCACGACGGAGTTTCACAAGATTTCCCGCTCCGTACGGAGTAGGGTAGAAACTCGCTGACTCCGTCATTGTAGCGCACGTGCAGCCCAGGCCATCTAAGGGCATCACAGACCTGTTATAGGCTCGAACTTCCTTGTGATAGTCTCACAAAGTCCCTCTAAGAAGCCAATCGCTTACAGAAGTAAACGAAGGCTAGTTAGTAGGTCAGTTCTCGTCCGTTATCGGAATTAACCAGACAAGTCACCTCACCGACTAAGAACGGCCATGCACCACCACCCATAGAATCGAAGAACTCTCAATCTGTCCAATCATGACTATGTCCGGGCCTGAGTGAGGTTCCCGCGTTGAGTCAAATTAAGCCGCAGGCTCCCTCCTGGTGGTGCCCTTCCGTCAATTCCCTTAAGTTTCAGCCTTGCGACCATACTCCCCCAGGGCCCAGAGACTTAGATTTCTCTTGGAGTGCCGAAGGAGTCGTATTCTGTACAGCCTCCGATCCTCAGTCGGCATAGTTTATAGTTGGGACTACGACGGTATCTAAGCGTCTTCGATCCCCCAACTTCGTCCTTGATTAACAGGCACACACTGGGCAAATGCTTTCGCACTTGTTTGTCTTTGCTGGGTCTTAGAATTTCACCTCTCTCCTTCAAGTACAGATGCCCCCGTATGTCCTTATCAACCATTACTTGTGTTCCACGTCACCAACAAGGAGGATCACAGTCCTATATTGTTATTCCATGCTGAGCTGTTTAAGCTATAGCCTGGTTGGAGCACTCCAATTTGCTCCAAAGTAACAAGGGAGCGGTACAGCCGAAGCTATCCCACCCGAGTCCGAAACAGAAAGTGCACAGCTAACACGAAGTCAGACAGGCGTCTCTCCGATTTGGACGAAATCAACTACGGACGCTTTAACTGCAGCAATTTTAATATACGCTATTGGAGCTGGAATTACCGCGGCTGCTGGCCCAGACTTGCCCTCCAATAGGTACTCGCAAATAGTTTTGCTTTCCGCTCATTGCAATCACAGAACCGAAGGTCCTGAGTTGCTATTTCTGGTCACTACCTCCCCGTATCGGGATTGGGTAATTTGCGCGCCTGCTGCCATCCTTAGATGTGGTAGCCGTCTCTCAGGCTCCCTCTCCGGAATCGAACCTAATTCCCCGTTACCCGTCACAGCCTCGGTAGGGCCAATACCCTACCGACGGGGAGCTGATAGGTCAGAAACTCGAACGAACTGTCGCAAGATGCGATCCGCTCGGTCATTATGATCACCAAGAACAGGTCCGAAAACCTGGATGGTTCCAATGCTAATGAATGCCACCCTTCTACGAAGGGGGGTGTTTTTGCATGTATTAGCTCCAGAATTACCGTGGATATCCATTTGGTAATGATCTTCGTGTAGATTATAACTGTTGTAATGAGCTATTCGCAGTTTTGCCGCTTTAAAAGCTTATACTTAGACTTGCATGGCTTAATCTTTGAAACAAGCATAT</t>
  </si>
  <si>
    <t>&gt;consensus_cl_id_7_total_supporting_reads_7</t>
  </si>
  <si>
    <t>TTAAGCCATGCATGTCTAAGTATAAGCAATTTATACAGTGAAACTGCGAATGGCTCATTAAATCAGTTATCGTTTATTTGATAGTACCTTTACTACTTGGATAACCGTGGTAATTCTAGAGCTAATACATGCTAAAAATCCCGACTGTTTGGAAGGGATGTATTTATTAGATAAAAATCAATGCTTTTCGGAGCTCTTTGATGATTCATAATAACTTTTCGAATCGCATGGCCTTGTGCTGGCGATGGTTCATTCAAATTTCTGCCCTATCAACTTTCGATGGTAGGATAGTGGCCTACCATGGTTTCAACGGGTAACGGGGAATTAGGTTCGATTCCGGAGAGGAGCCTGAGAAACGGCTACCACATCCAAGGAAGGCAGCAGGCGCGCAAATTACCCAATCCCGACACGGGGAGGTAGTGACAATAAATAACGAATACAGGGCCCTTTCGGTCTTGCAATTGGAATGAGTACAATTTAAATCCCTTAACGAGGAACAATTGGAGGGCAAGTCTGGTGCCAGCAGCCGCGGTAATTCCAGCTCCAATAGCGTATATTAAAGTTGTTGCAGTTAAAAAGCTCGTAGTAAAGTTGAACCTTGAGTTGGTTGGCCGGTCCGCCTTTTTGGCGAGTACTCGACTCCCATCGAGCCTTTTTTGGCTGAACCTTTCGCCCTTCTGGTGTTTGCGAACCAGGATTTTACTTTGAAAAAATTAGAGTGTTCAAAGCAGGCCTTTGCTCGAATATATTAGCATGGAATAATAGAATAGGACGTTATGGTTCTATTTTGTTGGTTCAGGACCATCGTAATGATTAATAGGGACGGTTGGGGGCATTCAGTATTCAGTTGTCGCTAGAGGTGAAATTCTTGGATTACCGAAGACTAACGACTGCGAAAGCATTTGCCAAGGACGTTTTCATTAATCAAGAACGAAAGTTAGGGGATCGAAGATGATCAGATACCGTCGTAGTCTTAACCATAAACTATGCCGACTAGGGATCGGGTGTTGTTCTTTTTTTGACGCGCTCGGCACCTTACGAGAAATCAAAGTCTTTGGGTTCTGGGGGGAGTATGGTCGCAAGGCTGAAACTTAAAGGAATTGACGGAAGGGCACCACCAGGAGTGGAGCCTGCGGCTTAATTTGACTCAACACGGGGAAACTCACCAGGTCCAGACATAGTAAGGATTGACAGATTGAGAGCTCTTTCTGATTCTATGGGTGGTGGTGCATGGCCGTTCTTAGTTGGTGGAGTGATTTGTCTGGTTAATTCCGATAACGAACGAGACCTTAACCTACTAAATAGGCTGGTCAGCTTTTTGCTGGTTGATAGTCACTTCTTAGAGGGACTATCGATTTCAAGCCGATGGAAGTTTGAGGCAATAACAGGTCTGTGATGCCCTTAGATGTTCTGGGCCGCACGCGCGCTACACTGACGGAGTCAGCGAGTTATAACCTTGGCCGAGAGGTCTGGGTAATCTTGTGAAACTCGTCGTGCTGGGGATAGAGCATTGTAATTATTGCTCTTCAACGAGGAATTCCTAGTAAGCGCAAGTCATCAGCTTGCGTTGATTACGTCCCTGCCCTTTGTACACACCGCCCGTCGCTACTACCGATTGAATGGCTTAGTGAGCCTCCGGATTGGTTTAGAAGAAGGGGCAACTCCATCTCTGCGAGAACTGGTCAAACTTGGTCATTTAGAGGAAGTAAAAGTCGTAACAAGGTTTCCGTAGGTGAACCTGCAGAAGGATCAGGTGCTGGTGTTACCGTGGAATGAATCCTTTTAACCTTAGCAATACGTAACTGAACGAAGTACACGCCCCCCCCCCCCCCCCCCCCCCCCCCCCCCCCCCCCCCCCCCACACACACACACACACACACACACACACACACACACACACGGTGTCCGGGCCTGTGAGATTTCCCGTGTTGAGTCAAACAAGCCGCAGGCTCCACTCCTGGTGGTGCCCTTCCGTCAATTCAGGTGCTGGTGTTACTGTGGGAATGAATCCTTTAACCTTAGCAATACGTAACTGAAC</t>
  </si>
  <si>
    <t>&gt;consensus_cl_id_0_total_supporting_reads_7</t>
  </si>
  <si>
    <t>&gt;consensus_cl_id_2_total_supporting_reads_29</t>
  </si>
  <si>
    <t>TGCATCCTCTAGATGATAAGGCTCACAACATTTCCTCACGAAGAGCGGTGCAGAACAAAGCAGCTACGTAAGTCCATGTAATTTGCCGGATCATCCAATCGGTTGAAGCGACGGGCGGTGTGTACAAAGGGCAGGGACGTAATCAGCACAAGGTGATGACTTGTCCTTACTAGGAATTCCTCGTTCATGACCCATAATTGCAAAGGTCAATCCCTATCACGACGGAGTTTCACAAGATTTCCCGCTTCGTACGAAGTAGGGCAGAGCTCGCTGACTCCGTCATTGTAGCGCACGTGCAGCCCAGACCATCTAAGGGACGTAACT</t>
  </si>
  <si>
    <t>AGTTACGTCCCTTAGATGGTCTGGGCTGCACGTGCGCTACAATGACGGAGTCAGCGAGCTCTGCCCTACTTCGTACGAAGCGGGAAATCTTGTGAAACTCCGTCGTGATAGGGATTGACCTTTGCAATTATGGGTCATGAACGAGGAATTCCTAGTAAGGACAAGTCATCACCTTGTGCTGATTACGTCCCTGCCCTTTGTACACACCGCCCGTCGCTTCAACCGATTGGATGATCCGGCAAATTACATGGACTTACGTAGCTGCTTTGTTCTGCACCGCTCTTCGTGAGGAAATGTTGTGAGCCTTATCATCTAGAGGATGCA</t>
  </si>
  <si>
    <t>&gt;consensus_cl_id_10_total_supporting_reads_62</t>
  </si>
  <si>
    <t>GTTACGTATTGCTAAGGTTAAAAGGATTCATTCCTGTTTTGCAACACCAGCACCTCCAAGACATCTAAGGTGACCGCAGACCTGTTATTGCTCAATCTCGTGCGGCTCGAAGCCGCCGGTCCCTCTAAGAAGAATTTTAATACGTCGCCAGTGAGTTGCGCGACACGAAGGCCGCGCACACCTAAATGGCGACGCCTATTTAGCAGGCTAGAGTCTCGTTCGTTATCGGAATTAACCAGACAAATCGCTCCACCAACTAAGAACGGCCATGCACCACCACCCACCGAATCAAGAAAGAGCTGTTAATCTGTCAATCCTTCCGGTGTCCGGGCCTGGTGAGATTTCCCGTGTTGAGTCAAATTAAGCCGCAGGCTCCACTCCTGGTGGTGCCCTTCCGTCAATTCAGGTGCTGGTGTTACCGTGGGAATGAATCCTTTTAACCTTAGCAATACGTATTTCGGAGTGTTTTTTTACATAATTGTCCTCAGAATGCCCCAGAAGGGGTAGAGTTATATTAAAATCATCTGATTTCTTAAAACATTTACTATGTATTGAATAAAATAAAATTATCATCGTTTAACTTCTTCAAAATCTTAGAAAAAAGCAT</t>
  </si>
  <si>
    <t>UnonMet Ga</t>
  </si>
  <si>
    <t>&gt;consensus_cl_id_12_total_supporting_reads_29</t>
  </si>
  <si>
    <t>ACCATACTCCCCCAGGGCCCAGAGACTTAGATTTCTCTTGGAGTGCCGAAGGAGTCGTATTTGTACAGCCTCCGATCCTCAGTCGGCATAGTTTATAGTTGGGACTACGACGGTATCTAAGCGTCTTCGATCCCCCAACTTTCGTCCTTGATTAACAGGCACACACTGGGCAAATGCTTTCGCACTTGTTTGTCTTTGCTGGGTCTTAGAATTTCACCTCTCTCCAGCAAGTACAGATGCCCCCGTATGTCCTTATCAACCATTACTTGTGTTCCACGTCACCAACAAGGAGGATCACAGTCCTATATTGTTATTCCATGCTGAGCTGTTTAAGCTATAGCCTGGTTGGAGCACTCCAATTTGCTCAAAGTAACAGAGCGGTACAGCCGAAGCTATCCCACCCGAGTCCGAAACAGAAAGTGCACTGACTAACACGAAGTCAGACAGGCGTCTCTCCGATTTGGACGAAATCCAACTACGGACGCTTTAACTGCAGCAATTTTAATATACGCTATTGGAGCTGGAATTACCGAGGTGCTGAAGCGTTGAAACCTTTGTCCTCTCTTAACCTTAGCAATACGTAAC</t>
  </si>
  <si>
    <t>GTTACGTATTGCTAAGGTTAAGAGAGGACAAAGGTTTCAACGCTTCAGCACCTCGGTAATTCCAGCTCCAATAGCGTATATTAAAATTGCTGCAGTTAAAGCGTCCGTAGTTGGATTTCGTCCAAATCGGAGAGACGCCTGTCTGACTTCGTGTTAGTCAGTGCACTTTCTGTTTCGGACTCGGGTGGGATAGCTTCGGCTGTACCGCTCTGTTACTTTGAGCAAATTGGAGTGCTCCAACCAGGCTATAGCTTAAACAGCTCAGCATGGAATAACAATATAGGACTGTGATCCTCCTTGTTGGTGACGTGGAACACAAGTAATGGTTGATAAGGACATACGGGGGCATCTGTACTTGCTGGAGAGAGGTGAAATTCTAAGACCCAGCAAAGACAAACAAGTGCGAAAGCATTTGCCCAGTGTGTGCCTGTTAATCAAGGACGAAAGTTGGGGGATCGAAGACGCTTAGATACCGTCGTAGTCCCAACTATAAACTATGCCGACTGAGGATCGGAGGCTGTACAAATACGACTCCTTCGGCACTCCAAGAGAAATCTAAGTCTCTGGGCCCTGGGGGAGTATGGT</t>
  </si>
  <si>
    <t>UnonMet Gm</t>
  </si>
  <si>
    <t>&gt;consensus_cl_id_11_total_supporting_reads_79</t>
  </si>
  <si>
    <t>ACCATACTCCCCCAGAACCCAAAAACTTTGATTTCTCGTAAGGTGCCGAGCGTGTCAGAAAAGAACAGCGCCCGATCCCTAGTCGGCATAGTTTATGGTTAAGACTACGACGGTATCTGATCATCTTCGATCCCCTAACTTTCGTTCTTGATTAATGAAAACATCCTTGGCAAATGCTTTCGCAGTAGTTAGTCTTCAGTAAATCCAAGAATTTCACCTCTGACAACTGAATACTGATGCCCCCGACCGTTCCTATTAATCATTACGATGGTCCTAGAAACCAACAAAATAGAACCATAACGTCCTATTCTATTATTCCATGCTAATATATTCGAGCAAAGGCCTGCTTTGAACACTCTAATTTTTTCAAAGTAAAAGTCCTGGTTCGCCACGAGAAGGCGAAAGGTTAGCCAGAAGGAAAGGCCCGGCTGGGTCCAGTACTCGCATAAAAGGCGGACCGGCCAGCCAGACCCAAGGTTCAACTACGAGCTTTTTAACTGCAACAATTTTAATATACGCTATTGGAGCTGGAATTACCGAGGTGCTGAACTAGGCACAGCGAGTCTTGGTTTTAACCTTAGCAATACGTAACTTGGC</t>
  </si>
  <si>
    <t>Hyphopichia burtonii</t>
  </si>
  <si>
    <t>GCGCGGATGTACTCCAGATCGTACTCCACGCGTTTTCCATTTCTCCAGCGTGTCAGTTTCACCGCGCCAGCCGTTGATTTAGCCCAGCCAGTCTGGCTTCGCATATGGCGCAGCATGTAGCCTTCAATCAGTTGGCGATACTGTTCGTTATGCGCCACCGCATGCGGACGCGGCCCGACGATAGACATGCCACCGGTCAGCACATTAATAAACTGCGGTAGTTCATCGGCGAGGTACGACGCGAAATTTCCCCCACTCGGGTGACGCGCGGATCGTTCTGCGTCGCCCCTGTGTGACGACACCTTGTCGTTTTCCATCACCTTCATTGAGCGGAATTTCCACGTTGATCGGTTTACCGTCCATGCCGCCAACAGGTCCTGACGGAAGATGATCGGCCCCGACCAGGCTCAACTTCACCGCCAGCGCAATGCAACAGCACCCACAGGGAGATCAGCAGCAGGATCAGCGGTATCCAGCACGATCTCTTCCGCCTTAAGCAGACGGTTGTTACCCGACAGCGGCGTATCGCCAGCTTTCACCGGCGCGCCTCACCTCTTCGATGCAGGAATGCAGAATGTTGAGGTAAACACGTCCGGAATGAGAATCACCGAACAGGTGGTATCCGCCAGTTCGCCCAGTTTTTTCACCCGCGCGCCGTCGCGCTCGCCATCGCAATGCCAGACGTTATGGATTGCGTGACGCTTTCCGTCTTCAACCAGTTGTTCGGGTGCCTGCCCAGTCAGAGGTAACGCCGCTGGTTTCAGATCGTGATAAACGCCAACTGCACTCAAAGAGCACAACCTGGTTCGTTGCGGAAGCTATCGAGCAGCGCCCGTCCGGC</t>
  </si>
  <si>
    <t>Citrobacter sp. Y3</t>
  </si>
  <si>
    <t>CTAAGCGCACAGGGGTCTGGGCCCATCGCCCATAGCACACCTGCGTTGCGAAGGGGAGCGGCCGAAAGCAGACCTAGCCTAGTGGCGTTCAGTCAATTCGGCGCGCGCGCTCCGTCGCTGACGTCTGAAGTGCTTCGGCTGATACCACGACGTCGGCGACGGAGCGGCACGTGCCGGGTAGTTTTCACTAGGCTTAGGTCTCTGCGTGCAGGTGTGCCGTAGCGATAAAACCCAGATTGACCCACAAATTTCGTGGACGGAGTCGGTAACTCCAGCTCCGCCATCAAGATCATCGATTGCGGTGCGGTGGCGAACATCTCGTCGATGATATGTTCACGCTCGTTTTCGGGCAGCTCAGGCAGGCAGTACGAACAGGTTGATGCGCGCACGACGTCGAGCGCCTTTTGCCACCTTGCCGGCCAATTTACCCGGCGCCGAGGAGCACAGGATCGCGCAGACGTGCGAACACCGTTGACCGGTATTCGCCCGGTTCCCCAGCCAAACGCCCCAGTAGCGCGGATGGTAAAGGCTTTCTGAAATTGCGGAATGAACTCTGGGTTCAGATTTTTCTCGTTTGCATGCACAAGCTCTTAACATAGCGGTTCGGCTAATCATAATTGCAGGGTGATTTTGCAATTGCAACGGCGAAGCACCAATATAAAACAACATCGGCCCGTAATCAGGCCGATGGAATCACTGGCGCGGTAACGCGCCGGAATAAAGGATCAATCCAGCTGCAGCTGAGGCACCACTTCTTTCACCTGCGCCAGATAATCGCTGCGATCTTTACCGCTTAGCCCTTCTGAACGCGGCAGTTTCGCCGTCAGCGGGTTGACCGCCTGGTTGGTCCACATTTCGAGGTAGATGCGGGCCCAGTTGACTCCGGTGTTACCGGATAGCGCAGGTACGATCACCCCGTTTCACCTTCTGGCTAAACAGCAACAGCTTTTTCAGGTGCATAACGCGTGGTGTACTGGCGACCATGGCGGATGGCCACGTAGTTGCCCGCGGCGCCTGCGTTGGCGATCAAGCACTTCACCGTCGCCCACTGCCAGCACCGGAGTACCGACCGGCATCGCGAAGTCGACGCCTTTGTGCGGCGCGTCGCCAGTGACCGTTCTCCGGCGTGGGTTGAGGAGTTTGAAGAGATGCGGAACTGCTTCATGGTTGAAACGCATAAAGCCGCGCGCCAGGCCCGAGCCCTGACGATCGTAAATTACCGTCTTCGGCACGGATGGCGTAATGGTCTTGCCGCCGGTGCGCATACGCGCCAGCAGCTGACTTGCTCTTGCCGTCAAAGTGTTCGCGGGACATCAGTACCGAGAACTGATCCCCGCGGTTGCGGAAATCCAACTGCCACTGCAGCGCTTTGATCACCGCATTGATTTCAGCGGCTCAGACCGGCATCGCCGGCGCTGCTACGACGAAGCTGCCGTTCAGACGACCGCTGATCACATTGTTGCGCCATTCGCCCTGCTGCGACTCCTGGGTTTCTTTGAAGTTGTTACCTACGCGGTCATAGGTGCAGGTTTCACGCCGGGAAACACCAGGTCAAACGCTGCAGATCGCCGGCATCGTTCACCGTCCATGACAGCTGCTGGCCAATTTTCAGGTTACGCAGATCGCGGTTTTGATACCAACAGCGTGACATCCGACATATCTATGCCGTATTGAGTCAGAATGCTGCCCAGCGTATCACCGGTAGAAACAACATATTCATGCATATTCTCGCCAGCGACACCCAGTCCAGCTCATCCTGTGGGATGTCATCATCGGGGTGGCTTGGTCGAGATCGATCGGTTCGCTGGCTTCTGGCGGCGAGGATCGTAACTGGCTGGATTCTAACTCAATGCTTTTGCGCGAACGGTTATGTTCATGGGTGATAAACAAAAGGCCGCCAGACGGCAACGGCCAATGTAACCACTGTCAGCGACCCCAGCATGACGCGGTAGGGCCGTGGCAGATTGTTATACGCCAGAGCGATAGTTCGGACTATCTGCTGCGCCGATTTTATCCTCATAATCTTTACTTCAGGCAGCTCACGTACTGGTTTGACAGCTGAGTCAGGAAGTTCCGTAGCTGTCTTTCCCCAGTACAATGAGCTGCCTGAAGTAAAGATTATGAGGATAAAATCGAGTGCGGCGAACTGGTCAGACTATCATGCGATGGCTGTTGTACGGCTTACTACGTCATGCTGGGGTCGCGAACGTGGTTGTGGCCGTTGCCAAATCTGGCGACGCCTTTATCGCCCAGAACGTAATCCATCGTTAAAGCGTGAGTTAGAATCAACCGGTGCGATCGCGCTGTAAAACCAGCGAAGCTCTCTCGACCAAGCCACCCCCGTGTCCCGCAGAGTGAGCTGGACCAAAAGATTTTCGGCGGCGTATTTGTTCTACCGGTGATACGCTGGACGCTGTCTGACCCAGCCAGCCAGATGCTGTCGGATGTCACGCTGTTGGCATCGCAAAACCGCGCGATGCCATAATCGAAAATTAACCGGCAGCTCATGGACGGTACGATATGACCGCATTGCAGTAACAGCAAAGCCGGGAGTCGCAGCGCAGGGCGATGGCGGCGCGTAGTGATCGGCGGTCGTCTGAGCAGCTTCGTCAGCAGCCGGCGATGCCGCAGCCGTGCTGGGCTCAATGCGGTGATCAAAGCCGTCAGTGGCAGTTGGGCGCGAAAGTTCTCGGTACTGACTCTCCCGCAATACTGACGGCAGGCGCACTGAAATCGCGCTGCATATGCCGGCGTACCGCTAAATTCTACGATCGGCGGGAAGGCGGCGCTTAGCAGTTCCGCATCTCTTCGGCTCAGCCTGCACCGGGTGAATCCACCCAAGTCGACTTCGCGATGCCGGTCGGTACTCCAGTACCCAGCGAACCCGAAGGCGATCCGCCAAACGCAGCGGTGCCGCGAGCCGATCACCATGGTCGCCAGTACACCACGCGTTATACGCCTGAAAAAGCTGGCCGGGCGAAGTGGGCGGGGTGATCGCATCGCTTTATCGGCCATCAAGCTCGATGGACCAACCGGCAGGCCCATTCCGGGCGGCAGGCTGCCGCGTTCAAGCGGCAAGATGCGGCGGTGAAAGAGACGCGCTCCTTTGCCCGGCGCGTTACCGCGCCAGCTGTTACATCGGCCTGATTGCAGGCCGATGTTATTTTATTGGTGGTGCTTCGCCATTGTGAGCAAAATCACCGCGCAGACATGTTAGCGAACATATGAAGAACTGTGCATGCAAAACGAAAGGCGGGCGGTTGTCCGCAATTTCAACCATCGCCTGCTTTGGCTGGGGCCATGGCGGTGTCACTGGTTTCCCTGCTGCGCGACGCCGTCGCTGCGCTCGGCGTCTCAACATTGTACTGCCTGCTGGCTACCGCGCAGCGTGGTGTTACCGCAATCGATGATCTTGACTGTTGCGGGCTGGAAGTTCGACCTGTCCACGACGGTGCAAGCCTAAGCGCACAGGGGTCTGGGCCCATCGCCCATAGCGCACCTGCACGTTGCGAAGAGGCGGCCGAAAGCAGACCTAGCCTAGTGGCGTTCAGTCCAATTCGGCACGCGCCGCTCCGCCATGACGTCTGAAGTGCTTCAGCTGATACCACGACGTCGGGATACCCATAACTACTCCCACGTAGATGGTTAGTGCGTATAGGCCGTAGCCGACTCAGATCAAATACCAAGATCTCGTTAAGCGTGTTAAGTATCCGCGAACGCCGAACAGGGCCAGGCCCACACCTGTCTCCTAGGTGGTCTCAACCTTCCCTGTCGCTCCGCCACAAAGTAACAGTCGAGGGCCGTCGGGAACCCAGGCCCACCTCTACCCGGGATAGACCACCTGTCCTTTCAGCCCCCTCGTCAGAATCACTTGCGGGTACTCAATGAGCTGACCCGACTTTAGTCACCATCTATATAGTATGTATGTATGTATAGTATATACCCGTGATCACCTTCCAAGTGATCACGGCCCGATGTATAACCAAGGCAGACTGACAAGAATGTAGGGCCAATGATGATAAACTAGCATCCTATACTAAGCATCTAGGATTGCAGGTAAGGTATCAACAGATGTAGCGACAATGTCAGGCTATGCATCAGAATAGGATTAACGAAAGCAGTAACATGCTTACACTACTCTAATGCAAGCAGTATCAGAGAATAGGCGATATCTGGTGATCAAGGGAGGGCTTGCCTGGTTGCTCTGGCAAGAGAGGGTCATCAACTCCGTAGTCGAACTGGTCAGCAGCAGCGTCGGTCTCATAGTCTACTAGAGAGAAGAGGGGAAGAAATAATGAATACAGAGCAAACAAAGCACCATAAAATATGTAAGGCAATACGCGGTGTTCGGTGT</t>
  </si>
  <si>
    <t>Serratia liquefaciens</t>
  </si>
  <si>
    <t>&gt;consensus_cl_id_1_total_supporting_reads_3</t>
  </si>
  <si>
    <t>CCAGCTCACGTTCCCTATTAGCGGGTGAACAATCCGACATTTTGAGACTTCTGCGTCTCAATGATAGGAAGAGCCGACATCGAAGGATCAAAAAGCAACGTCGCTATGAACGCTTGGCTGCCACAAGCCAGTTATCCCTGTGGTAACTTTTCTGTCACCTCTAGCCAGAACCTTTCTGGACTTAAAGGATCGATAGGCCATGCTTTCGCAGTTCGTATTCGCACGGAAATCAGAATCAAGCTGACTTTTTCCCCTTTCAGTCTACGAGAGATTTCTGTTCTCTCTGAGTCGCCTTAGGGCATCTGCGTTGCAGTTTAGCAGATGTGCCGCCCCAGCCAAACTCCCCATCTGAATATGTCCTCTGATACGATCGGTAAGAGAACCTTAAATCTAGAACACGTAAGAAAACGTGATTCGTTGTGACAGAGTAAGTAGAGCGACAGTGGAGGTCGTGGTATTTCACTGTCTTAAGCTCCCGTATGCTACACCCCCAAGTCACTCCACAAAGTCAGACTAGAAGTCAAGCTCAACAGGGTCTTCTTTCCCCGCTTATTTTGCCAACCCGTTCCCTTGGCTGTGGTTTCGCTAGATGGCGGATGGGGACAGTAGGAATCTCGTTGATCCATTCATGCGCGTCACTAATTAAATGACGAGGCATTTGGCTACCTTGAGAGAGTCATAGTTACTCCCGCCGTTTACCCGCGCTTGGGCGAATTTCATCGCAATGACATTCAGAGCACTGGGCGAAATCATTGCGTAAAGCGTTGCCGCTTGTCGCAATGCTTTGTTTTAATTAAACAGTCAGATTCCTCTTGTCCGTACCAGTTCTGAGTTAGCCGGTTAATGCCAACAGGATAGCCGAAGCTCCTAGCGTAGGCCACCGCTCGTGCAACTCCCAAAGCGAGTAACCACTCCAAGAAAAGCGAGAACGATGAACTGTCACTGGCCCTGAAAGCTCGGCCCTCAGAGCCAATCCTTTTTCCAAGGTACAGATCTAATTTGCCGACTTCCCTCATCCGCCTTATTCTATCGACCAGAGGCTGCGAACCTAGGAGACCTGATGCGGTTTAGGGTACGGCTAGAAAGTGAGTAAATATCCCTTGGGGTTTCAAAGGCCAATAGAAGCGCACCGGATTTCCAACAGGTGTAAGAAACTATGCCAACTTTTCATCCTTTTCTCCAGACAAGCCGATTCAAGAGTGGTGTTGTCGAAGAGCAAAGATAACGCTCCCCAGGGCTTCTCTGGCAACCCAAGTTCAGTTGTGTTACCACAACCCCACCAACTAGTAAAGGAATTTGGGCCTTTTTCCCTTTCAGGTCAAGAGGCGAAGCCTCACTCGAAGGAAGTAAGCTTTTCCTTTAGGGCCGACTAACCCGAGGACAATTGCTGTTCTCCCGGAACCCTTATCCACTTCGGTCATCAAAGTTCTCATTTGATTAATTGCTACTACCACCAAGATCTGCACTAGAGGCTGCTCCAGCTAGTTTCACAACTAAGCCTTCTCAGCAACCCCCACGCCCTCCTACGTCAATGCTAATTTCATTGACGGTTTGGTATCGGCCGCCCGCTTGAGCGCTATCCATTTTCAGGGCTGGTCCATTCGGCAGGTGAGTTATTGCACACTCCTTAGCGGATTTCAACTTCCATGACCACCGCCCTGCTGTTTCAATGAACCAACACCTTTATGGTGTCTGATCAGCGAGTGTTGAGCGCCTTAACCAAACGTTAGGAGCATCCCTCATCGCCAGTTCTGCTTACCAAAACTGGCCCACTAAGAAGTATCATTCATCTACCGAGCTAACTGAATTAGCAAGGTAGCAAACCCATTAAAGTTTGAGAATAGGTCGAGGGCGGGATGCCCCCGAGGCCTCTAATCATTCGCTTTACCGGATCTAACTGATCATTAACTTCCAGCTATCCTGAGGGAAACTTCCGGAGGAACCAGCTACTAGATGGTTCGATTAGTCTTTTCGCCCCTATGCCCAAGTTTGACGAACGATTTGCACGTCAGTATCGCTACGAGCTTCCACCCAGGGTTTCCCCTGGCTTCACCCAACTCAGGTATAGGTCACCATCTTTCGGGTCTAAACGAAAATGCTCGGGCTCGAACTTCAGAGAGTCGGCTGCTGTTGCATTGTAATTCACAGCTTTTGCTTTCACTACGCGTCTGGGTTTGACACCCTTGCACTCACTTTCGTTTAACTCCTTGGTCCGTGTTTCAAGACGGGTCGTCTGTACATGCCACTCTCGACAACTTGCAAAGGCGTACCACACTTCTCGATGTTAAGAACAAAGTTATAGCCGAAGCGACAACAAGTCATAACATACGGAAGTGATGTCGAGTAATGTAATGAGAGAAATCTCTCAAACATTGGGTCACGGACAGCCGCTTCCCCCTCAGCGATTTCAGGTATTTTAACTCTCCTTTCGAAGTGCTTTTCAACTTTCCCTCACGGTACTTGTTTGCTATCGATCTCTCACCGTTATCTAGCCGTGGATGGAGTTACCACCCATTTTGCGCTCTACTCCCAAAGAGCGTGACTCATTAGATTAAAGCTGTACTTGAGAATGGCTGGAATAAGAACAGGGCTGTCACCTTCTCTGGCGTGCCTTTCCAGGCATCTTCTTCCCAGTTTCTCAATAGCTATAACCTCGATGCACAGCTCCGTCAGAAACGGATTAACATCGCGGGCTCTTCCCACTTCGTTCGCCACTACTACGGGAATCCCAGTTGGTTTCTTTTTCCTCCGCTTAATTATATGCTTAAATTCAGCGGGTAGCCTTCTTGAGCTCGGATCATGATTTGAGAAGCCTACTGTAATTACCTCAACATTTCACTGTATGAGTTCTTACAGGTAGCATCATTTAGCCAGTGACGTAAAGGACACTGTATGTCATCCATTCAATCGAAATTGATTGGAGAAATCTATACGATACCGAGCCAAACATACTTCAGGCCGAGGCCAGAAGTACCTTTGCGTTCAGAGATCTGGTGAATCACGAAATTTCGCAAGTCATACTGCTTATCGCGGTTTGCTGCGTCCTTCCTCGGTGTGAAAGTCGAGTCATCCATCGCTGAGAGTTTTTAATTCTCATTATTCAATGATTTAAGTCATGTTATTAACATTGAGTGCTAGGTTGGTTGTTGTTTAAACAGGAATGATCCATCCGCAGGTTCACCTACGGATACCGTGTTACGACTTCTTCATCCTCTAGATGATAAGGCTCACAACATTTCCTCACGAAGAGCGATGTAGAACAAAGCAGCTACGTAAGTCCATGTAATTTGCCGGATCATCCAATCGGTTGAAGCGACAGGCGGTGTGTACAAAGGGCAGGGACGTAATCAGCACAAGGTGATGACTTGTCCTTACTAGGAATTCCTCGTTCATGACCCATAATTGCAAAGGTCAATCCCTATCCGACGGAGTTTCACAAGATTTCCCGCTCCGTACAGGTAGGGTAGAGCTCGCTGACTCCGTCATTGTAGCGCACGTGCAGCCCAGGCCATCTAAGAGGGCATCACAGACCTGTTATAGGCTCGAACTTCCTTGTGATAGTCTCACAAAGTCCCTCTAAGAAGCCAATCGCTTGCAAGTAAACGAAGGCTAGTTGGTAGGTCGAGGTCTCGTCCGTTATCGGAATTAACCGACAAGTCCCCCTCACCGACTAGAACGGCCATGCACCACCGCCCATAGAAGAATCGAGAAAGAACTCTCAATCTGTCAATCATGACTATGTCGGGCCTGAGTGAGGTTCCCCGCGTTGGGTCGAATTAAGCCGCGGGCTCCACTCCTGGTGGTGCCCTTCCGTCAATTCCTTTAAGTTTCAGCCTTGCGACCATACTCCCCCAGGGCCCAGAGACTTAGATTTCTCTTGGAGTGCCGAAAGAGTCGTATTTGTACAGCCTCCGATCCTCAGTCGGCATAGTTTATAGTTGGGACTTCGACGGTATCTAAGCGTCTTCGATCCCCCAACTTTCGTCCTTGATTAACAGGCACACACTGGGCAAATGCTTTCCACTTGTTTGTCTTTGCTGGGTCTTAGAATTTCACCTCTCTCCAGCAAGTACAGATGCCCCCGTATGTCCTTATCAGCCATTACTTGTGTTCCACGTCACCAACAAGGAGGATCACAGTCCTATATTGTTATTCCATGCTGGCTGTTTAGTATAACCTGGTTGGAGCACTCAATTTGCTCAAAGTAACAGAGCGGTACGCCGAACTATCCACGCGGGTCGAAACAGAAAGTGCACGACTAACACGAAGTCAGACGGCGCTCTCTCCGATTTGGACGAAATCCAACTACGGACGCTTTAACTGCAGCAATTTTATATGCGCTATTGGAGCTGGCATACCCGCGGCTGCTGCACCAGACTTGCCCTCCAATAGGTACTCGCAAATGGTTTGATTTTCCGCTCTTGCAATCACAGAACCGAAAGGTCCTGGTTGCTATTTCTGGTCACTACCTCCCCGTATCAGGATTGGGTAATTTGCGCGCCTGCTGCCGGCCTTAGATGTGGTAGCCGTCTCTCAGGCTCCCTCTCCGGAATCGAACCTAATTCCCCGTTACCCACGTCACAGCCTCGGTAGGCCAATACCCTACCGACGGGAGCTGATAGGTCAGAAACTCGAACGAACTGTCGCAGAGCGATCCGCTCGGTCATTATGATCACCAAGAACAGGTCGAAAACCTGGATGGTTCCAATGCTAATGAATGCCACCCTTCTACGAAGTCGGGTGTTTTTGCATGTATTAGCTCCAGAATTACCATGGATATCCATTTGTTAATGATCTTCGTGTAGATTATAACTGTTGTAATGAGCTATTCGCAGTTTTGCCGTATAAAGCTTATACTTAGACTTGCATGGCTTAATCTTTGAAACAAGCATGTTACTGGCAGAAGACATCTGGGGCATCACAGACCTGTGCCTCAAACTTCCATCGACTTGAAATCGATAGTCTCCTCCTGAAGTGACTATACCAGCAAAGCTAGCAGCACTATTTAGTAGGTTAAGGTCTCGTTCGTTATCACCCAATTAAGCAGACAAATCACTCCACCAACTAAAGTCATACACCACCCACAAAATCAAGAAAATCTCAATCTGTCAATCTTGTGTGTCTGGACCTGGTGAGTTCCCCGTGTTGAGTCAGGGTAGCCGCAGGCTCCTCT</t>
  </si>
  <si>
    <t>AGAGGAGCCTGCGGCTACCCTGACTCAACACGGGGAACTCACCAGGTCCAGACACACAAGATTGACAGATTGAGATTTTCTTGATTTTGTGGGTGGTGTATGACTTTAGTTGGTGGAGTGATTTGTCTGCTTAATTGGGTGATAACGAACGAGACCTTAACCTACTAAATAGTGCTGCTAGCTTTGCTGGTATAGTCACTTCAGGAGGAGACTATCGATTTCAAGTCGATGGAAGTTTGAGGCACAGGTCTGTGATGCCCCAGATGTCTTCTGCCAGTAACATGCTTGTTTCAAAGATTAAGCCATGCAAGTCTAAGTATAAGCTTTATACGGCAAAACTGCGAATAGCTCATTACAACAGTTATAATCTACACGAAGATCATTAACAAATGGATATCCATGGTAATTCTGGAGCTAATACATGCAAAAACACCCGACTTCGTAGAAGGGTGGCATTCATTAGCATTGGAACCATCCAGGTTTTCGACCTGTTCTTGGTGATCATAATGACCGAGCGGATCGCTCTGCGACAGTTCGTTCGAGTTTCTGACCTATCAGCTCCCGTCGGTAGGGTATTGGCCTACCGAGGCTGTGACGTGGGTAACGGGGAATTAGGTTCGATTCCGGAGAGGGAGCCTGAGAGACGGCTACCACATCTAAGGCCGGCAGCAGGCGCGCAAATTACCCAATCCTGATACGGGGAGGTAGTGACCAGAAATAGCAACCAGGACCTTTCGGTTCTGTGATTGCAAGAGCGGAAAATCAAACCATTTGCGAGTACCTATTGGAGGGCAAGTCTGGTGCAGCAGCCGCGGGTATGCCAGCTCCAATAGCGCATATAAAATTGCTGCAGTTAAAGCGTCCGTAGTTGGATTTCGTCCAAATCGGAGAGAGCGCCGTCTGACTTCGTGTTAGTCGTGCACTTTCTGTTTCGACCCGCGTGGATAGTTCGGCGTACCGCTCTGTTACTTTGAGCAAATTGAGTGCTCCAACCAGGTTATACTAAACAGCCAGCATGGAATAACAATATAGGACTGTGATCCTCCTTGTTGGTGACGTGGAACACAAGTAATGGCTGATAAGGACATACGGGGGCATCTGTACTTGCTGGAGAGAGGTGAAATTCTAAGACCCAGCAAAGACAAACAAGTGGAAAGCATTTGCCCAGTGTGTGCCTGTTAATCAAGGACGAAAGTTGGGGGATCGAAGACGCTTAGATACCGTCGAAGTCCCAACTATAAACTATGCCGACTGAGGATCGGAGGCTGTACAAATACGACTCTTTCGGCACTCCAAGAGAAATCTAAGTCTCTGGGCCCTGGGGGAGTATGGTCGCAAGGCTGAAACTTAAAGGAATTGACGGAAGGGCACCACCAGGAGTGGAGCCCGCGGCTTAATTCGACCCAACGCGGGGAACCTCACTCAGGCCCGACATAGTCATGATTGACAGATTGAGAGTTCTTTCTCGATTCTTCTATGGGCGGTGGTGCATGGCCGTTCTAGTCGGTGAGGGGGACTTGTCGGTTAATTCCGATAACGGACGAGACCTCGACCTACCAACTAGCCTTCGTTTACTTGCAAGCGATTGGCTTCTTAGAGGGACTTTGTGAGACTATCACAAGGAAGTTCGAGCCTATAACAGGTCTGTGATGCCCTCTTAGATGGCCTGGGCTGCACGTGCGCTACAATGACGGAGTCAGCGAGCTCTACCCTACCTGTACGGAGCGGGAAATCTTGTGAAACTCCGTCGGATAGGGATTGACCTTTGCAATTATGGGTCATGAACGAGGAATTCCTAGTAAGGACAAGTCATCACCTTGTGCTGATTACGTCCCTGCCCTTTGTACACACCGCCTGTCGCTTCAACCGATTGGATGATCCGGCAAATTACATGGACTTACGTAGCTGCTTTGTTCTACATCGCTCTTCGTGAGGAAATGTTGTGAGCCTTATCATCTAGAGGATGAAGAAGTCGTAACACGGTATCCGTAGGTGAACCTGCGGATGGATCATTCCTGTTTAAACAACAACCAACCTAGCACTCAATGTTAATAACATGACTTAAATCATTGAATAATGAGAATTAAAAACTCTCAGCGATGGATGACTCGACTTTCACACCGAGGAAGGACGCAGCAAACCGCGATAAGCAGTATGACTTGCGAAATTTCGTGATTCACCAGATCTCTGAACGCAAAGGTACTTCTGGCCTCGGCCTGAAGTATGTTTGGCTCGGTATCGTATAGATTTCTCCAATCAATTTCGATTGAATGGATGACATACAGTGTCCTTTACGTCACTGGCTAAATGATGCTACCTGTAAGAACTCATACAGTGAAATGTTGAGGTAATTACAGTAGGCTTCTCAAATCATGATCCGAGCTCAAGAAGGCTACCCGCTGAATTTAAGCATATAATTAAGCGGAGGAAAAAGAAACCAACTGGGATTCCCGTAGTAGTGGCGAACGAAGTGGGAAGAGCCCGCGATGTTAATCCGTTTCTGACGGAGCTGTGCATCGAGGTTATAGCTATTGAGAAACTGGGAAGAAGATGCCTGGAAAGGCACGCCAGAGAAGGTGACAGCCCTGTTCTTATTCCAGCCATTCTCAAGTACAGCTTTAATCTAATGAGTCACGCTCTTTGGGAGTAGAGCGCAAAATGGGTGGTAACTCCATCCACGGCTAGATAACGGTGAGAGATCGATAGCAAACAAGTACCGTGAGGGAAAGTTGAAAAGCACTTCGAAAGGAGAGTTAAAATACCTGAAATCGCTGAGGGGGAAGCGGCTGTCCGTGACCCAATGTTTGAGAGATTTCTCTCATTACATTACTCGACATCACTTCCGTATGTTATGACTTGTTGTCGCTTCGGCTATAACTTTGTTCTTAACATCGAGAAGTGTGGTACGCCTTTGCAAGTTGTCGAGAGTGGCATGTACAGACGACCCGTCTTGAAACACGGACCAAGGAGTTAAACGAAAGTGAGTGCAAGGGTGTCAAACCCAGACGCGTAGTGAAAGCAAAAGCTGTGAATTACAATGCAACAGCAGCCGACTCTCTGAAGTTCGAGCCCGAGCATTTTCGTTTAGACCCGAAAGATGGTGACCTATACCTGAGTTGGGTGAAGCCAGGGGAAACCCTGGGTGGAAGCTCGTAGCGATACTGACGTGCAAATCGTTCGTCAAACTTGGGCATAGGGGCGAAAAGACTAATCGAACCATCTAGTAGCTGGTTCCTCCGGAAGTTTCCCTCAGGATAGCTGGAAGTTAATGATCAGTTAGATCCGGTAAAGCGAATGATTAGAGGCCTCGGGGGCATCCCGCCCTCGACCTATTCTCAAACTTTAATGGGTTTGCTACCTTGCTAATTCAGTTAGCTCGGTAGATGAATGATACTTCTTAGTGGGCCAGTTTTGGTAAGCAGAACTGGCGATGAGGGATGCTCCTAACGTTTGGTTAAGGCGCTCAACACTCGCTGATCAGACACCATAAAGGTGTTGGTTCATTGAAACAGCAGGGCGGTGGTCATGGAAGTTGAAATCCGCTAAGGAGTGTGCAATAACTCACCTGCCGAATGGACCAGCCCTGAAAATGGATAGCGCTCAAGCGGGCGGCCGATACCAAACCGTCAATGAAATTAGCATTGACGTAGGAGGGCGTGGGGGTTGCTGAGAAGGCTTAGTTGTGAAACTAGCTGGAGCAGCCTCTAGTGCAGATCTTGGTGGTAGTAGCAATTAATCAAATGAGAACTTTGATGACCGAAGTGGATAAGGGTTCCGGGAGAACAGCAATTGTCCTCGGGTTAGTCGGCCCTAAAGGAAAAGCTTACTTCCTTCGAGTGAGGCTTCGCCTCTTGACCTGAAAGGGAAAAAGGCCCAAATTCCTTTACTAGTTGGTGGGGTTGTGGTAACACAACTGAACTTGGGTTGCCAGAGAAGCCCTGGGGAGCGTTATCTTTGCTCTTCGACAACACCACTCTTGAATCGGCTTGTCTGGAGAAAAGGATGAAAAGTTGGCATAGTTTCTTACACCTGTTGGAAATCCGGTGCGCTTCTATTGGCCTTTGAAACCCCAAGGGATATTTACTCACTTTCTAGCCGTACCCTAAACCGCATCAGGTCTCCTAGGTTCGCAGCCTCTGGTCGATAGAATAAGGCGGATGAGGGAAGTCGGCAAATTAGATCTGTACCTTGGAAAAAGGATTGGCTCTGAGGGCCGAGCTTTCAGGGCCAGTGACAGTTCATCGTTCTCGCTTTTCTTGGAGTGGTTACTCGCTTTGGGAGTTGCACGAGCGGTGGCCTACGCTAGGAGCTTCGGCTATCCTGTTGGCATTAACCGGCTAACTCAGAACTGGTACGGACAAGAGGAATCTGACTGTTTAATTAAAACAAAGCATTGCGACAAGCGGCAACGCTTTACGCAATGATTTCGCCCAGTGCTCTGAATGTCATTGCGATGAAATTCGCCCAAGCGCGGGTAAACGGCGGGAGTAACTATGACTCTCTCAAGGTAGCCAAATGCCTCGTCATTTAATTAGTGACGCGCATGAATGGATCAACGAGATTCCTACTGTCCCCATCCGCCATCTAGCGAAACCACAGCCAAGGGAACGGGTTGGCAAAATAAGCGGGGAAAGAAGACCCTGTTGAGCTTGACTTCTAGTCTGACTTTGTGGAGTGACTTGGGGGTGTAGCATACGGGAGCTTAAGACAGTGAAATACCACGACCTCCACTGTCGCTCTACTTACTCTGTCACAACGAATCACGTTTTCTTACGTGTTCTAGATTTAAGGTTCTCTTACCGATCGTATCAGAGGACATATTCAGATGGGGAGTTTGGCTGGGGCGGCACATCTGCTAAACTGCAACGCAGATGCCCTAAGGCGACTCAGAGAGAACAGAAATCTCTCGTAGACTGAAAGGGGAAAAAGTCAGCTTGATTCTGATTTCCGTGCGAATACGAACTGCGAAAGCATGGCCTATCGATCCTTTAAGTCCAGAAAGGTTCTGGCTAGAGGTGACAGAAAAGTTACCACAGGGATAACTGGCTTGTGGCAGCCAAGCGTTCATAGCGACGTTGCTTTTTGATCCTTCGATGTCGGCTCTTCCTATCATTGAGACGCAGAAGTCTCAAAATGTCGGATTGTTCACCCGCTAATAGGGAACGTGAGCTGG</t>
  </si>
  <si>
    <t>CCAGCTCACGTTCCCTATAAACGGGTGAACAATCCGACACTTTGAGACTTCTGCGTCCCAATGATAGGAAGAGCCGACATCGAAGGATCAAAAAGCAACGTCGCTATGAACGCTTGGCTGCCACAAGCCAGTTATCCCTGTGGTAACTTTTCTGTCACCTCTAACCAGAACTGTTCTGGATTTAAAGGATCGATAGGCCATACTTTCGTAGTTCATAATCGTAATGAAATTCTGAATCAAGCTGACTTTTCCCCTTTTAGTCTACGAGAGATTTCTGTTCTCTCTGAGTCAACCTTTGGACATCTGCGTTGCAATTTAGCAGATGTGCCGCCCCAACCAAACTCCCCATCTGACAATGTCCTCTTTGATGTGAGTTATCAACCGACATTCATCCAACTCTTTACAGAGCTGCACCATTTAAAGAGTAAGCAGAACAACGCTACAGGTCGTGGTATTTCACTGTCGGGCAAGCCCTCCCGTATGCTACACCCCATAGGTTATTCCACAATATCAGACTAGAGTCAAGCTCAACAGGGTCTTCTTTCCCCGCTTATCATGCCAAGCCCGTTCCCTTGGCTGTGGTTTCGCCAGATAGCAGATGGGGACAGTAGGAATCTCGTTAATCCATTCATGCGCGTCACTAATTAGATGACGAGGCATTTGGCTACCTTAAGAGAGTCATAGTTACTCCCGCCGTTTACCCGCGCTTAAGTGAATCTCATCACCGTGACATTCAGAGCACTGGGCAGAAATCACATTATGTCAACAGCAGTAAAGCCTATCATAATGCTTTGTTTTAATTAAACAGTCAGATTCCTCTGGTCCACACCAGTTCTGAGTTGACAGCATAACTGTCCTCAGAGCCAATCCTTTTACCGAAGGTTCGGATCTAATTTGCCGACTTCCCTCATCTGCTTTGCTCTGCTAAACCAAAGGTACCTAACCTTGGAGACCTGCTGCAGTTATTGGTACGGTTCAAAGAACTCCATAGACCACTGGTTTTTCAACGGCCCCGAGTTGTTGTCGTAGACTCTCAAATGAGAATCCTCTTTCACAGTTTACTCTCTTCTCAAACCAACATTATTCCGAGAGATATCTGAGTTGAAAGGCATAGACGTCGCCTCACGACACTCCTCCGGACCCCCCAGTGCCCTTTGTGTTACCACTCTAAAGTCCTTTGAGTTAAGGAATATTAGCCTTATTCTCTTTCGGGAATCATTTGAGCTAATAAACCCCTTAGAACCGACTAACCCGAAACCAACTACTGTTCCTTCGGAACCCTTATCCACGTAGGCCGTTGCCATTCTCAGACAACTATTTACTACTATCACCAAGATCTGCACTAAATTCACCTCCTGTTGCACTCACGCACAACATTCTCTGGTAAATTCACGCCCTCCTACACGTTGTTTCCTTTACAACAACGACGCATTATCGACTTTTCGCTGACCGTCATCAATTTTTCGGGGCTGGTCCATTCGGCAGGTGAGTTATTACACACTCCTTAGCGGATTTCAACTTCCATGACCACCGTCCTGCTGTCTCAATGAACCAACACCCTTTGTGGTTTGTCATAAGCGGAAATTAGACGTCTTATATGCGTTTAAGGAGCATCCCTCATCGCCAGTTCTGCTTACCAAAATGGCCCACTATGAACTTACATAGTCACCGCCAATTATCAACTTAATTGGCTTTATCGATTTCATTTGAAGTTTGAGAATAGGTCGAGGACCAAGATGTCCCCAGTGCCTCTAATCATAAGCTTTACCGAAACCTACTTTTCAAAGTTCAAGCTATCCTAAGGGAAACTTCGGAGGGAACCAGCTACTAGATGGTTCGATGAGTCTTTCGCCCTATACTCAGGTAGGATGAACGATTTGCACGTCAGTATCACATTGAGCCTCCACCAGGATTTCTCCTGGCTTCACTCTTCCCAAGTATAGATCACCATCTTTCGGGTTTAATAAGCTATGCTCTATCACAATTTTCACAGGAATTGCTTGTTCCGCAATCACTTTCATTCCGCACTTGGGTTTTTTGCCCTAGCACTTGCACAGCTTAATAACTCCTTGGTCCGTGTTTCAAGACGGGTCATAATCAGAAGCCAAACACAGCCATTTAAACATGACCATGCTGCACAAGGCGGTTCCTGATTATGCTTCCAGCCCAGCGATTTCATGTTTTTTGAAGCTCCTCTCGGAGTTCTTTTCAACTTTCCCTCATGGTACTTATTCGCTATCGGTTTTGCAGTAATACTTAAACTTCGAGCACAGATACGCCCGCTTTAAACTCCACTCTCAGGAGTTTGACTCTACTATTCATAACGTTGCGTTCTCATCTTAGAAACAGGCCTGTCACCGTTTTCAGTTGAGTCTTCCACCTCAACAACTAATTGAGATCCCGCTCCGCTATTGTTCCCACATGTCATTGCAAGCAATGATTCGTGGACAGTTTGAATCCCTTTCGCTCGCCGCTAGTCAGGATGTCACTGTTGTTTTCCTTTCCTCCTCTTAATTATATGCTTAAATTCAGAGGGTAGCTTCAATTAGATCAGGTTCAATTTATTATCTATTCTAAGTAACAACATTCGTTTTTACTCAAGAGTTTTGGAATTCCACGATTACTGGAATTTAAACCGCTCATACGTCAAAGACGTAAACACTGACTAATTGTACTCTAACGAGTGCAATACATTCAGAAATGATGCTTTCGAAAATGCTCAGATCGGCACCCATACTGCGGACTGACACATCTTTCATCAAACTGCAAACCAAGTAATCCATCGCTGAACCTTTAAATAGGTTAATTAATGTCTGTCAATGCCTAAAATCCTTCTAGATGATGTGTGTTTTTAACACTTTTTTAATGATCCATCCGCAGGTTCACCTACGGATACCGTGTTACGACTTCTTCATCCTCTAGATGACAAGGCTTATTCCGCTTCCATTTCACAAAGGCGAATGCCAATATAAAATGTCACAGAATTCACCGGATCATCCAATCGGTTGAAGCGACGGGCGGTGTGTACAAGGGCAGGGACGCAATCAGCACAGTATTATGAACTATACTTACTAGGAATTCCTCGTTCATGAGCCAAAATTACAAAACTCAATCCTAACACGACACTATTTTCGTGATTTCACATTTCTTTCGAAATGTAAGGCTTGTTGCTAGAGTCATTGTAGCACACGTGCAGCCCAGGCCATCTAAGGGCATCACAGACCTGTTATAGCCTCGATCTTACCTGGGGTAAAACCCCCCAGAGTCCTTCTCCATACAGCTTCTCAGGAACGATGAGAAGAGAAAGGGAGACAGCCGAGATCTCGTCCGTTATCGGAATTAACCAGACAAGTCACCTCACCGACTAAGAACGGCCATGCACCACCACCCATAGAATCAAGAAAGATCTCTTCACCTGTCAATCATAACCATGTCCGGGCCTGGTAAAATTCCCCGTGTTGACTCAAATTAAGCCGCAGGCTCCACTCCTGGTGGTGCCC</t>
  </si>
  <si>
    <t>&gt;consensus_cl_id_1_total_supporting_reads_9</t>
  </si>
  <si>
    <t>TTGGGTTTAAGCCATGCATGTCTAAGTATAAGCAATTTATACAGTGAAACTGCGAATGGCTCATTAAATCAGTTATCGTTTATTTGATAGTACCTTTACTACTTGGATAACCGTGGTAATTCTAGAGCTAATACATGCTAAAAATCCCGACTGTTTGGAAGGGATGTATTTATTAGATAAAAAATCAATGCTTTTCGGAGCTCTTTGATGATTCATAATAACTTTTCGAATCGCATGGCCTTGTGCTGGCGATGGTTCATTCAAATTTCTGCCCTATCAACTTTCGATGGTAGGATAGTGGCCTACCATGGTTTCAACGGGTAACGGGGAATAAGGGTTCGATTCCGGAGAGGGAGCCTGAGAAACGGCTACCACATCCAAGGAAGGCAGCAGGCGCGCAAATTACCCAATCCCGACACGGGGAGGTAGTGACAATAAATAACGATACAGGGCCCTTTCGGGTCTTGTAATTGGAATGAGTACAATGTAAATACCTTAACGAGGAACAATTGGAGGGCAAGTCTGGTGCCAGCAGCCGCGGTAATTCCAGCTCCAATAGCGTATATTAAAGTTGTTGCAGTTAAAAAGCTCGTAGTTGAACCTTGGGCTTGGTTGGCCGGTCCGCCTTTTTGGCGAGTACTGGACCCAACCGAGCCTTTCCTTCTGGCTAACCTTTCGCCCTTGTGGTGTTTGGCGAACCAGGACTTTTACTTTGAAAAAATTAGAGTGTTCAAAGCAGGCCTTTGCTCGAATATATTAGCATGGAATAATAGAATAGGACGTTATGGTTCTATTTTGTTGGTTTCTAGGACCATCGTAATGATTAATAGGGACGGTCGGGGGCATCAGTATTCAGTTGTCAGAGGTGAAATTCTTGGATTACCTGAAGACTAACTACTGCGAAAGCATTTGCCAAGGACGTTTTCATTAATCAAGAACGAAAGTTAGGGGATCGAAGATGATCAGATACCGTCGTAGTCTTAACCATAAACTATGCCGACTAGGGATCGGGTGTTGTTCTTTTTTGACGCACTCGGCACCTTACGAGAAATCAAAGTCTTTGGGTTCTGGGGGGAGTATGGTCGCAAGGCTGAAACTTAAAGGAATTGACGGAAGGGCACCACCAGGAGTGGAGCCTGCGGCTTAATTTGACTCAACACGGGGAAACTCACCAGGTCCAGACACAATAAGGATTGACAGATTGAGAGCTCTTTCTTGATTTTGTGGGTGGTGGTGCATGGCCGTTCTTAGTTGGTGGAGTGATTTGTCTGCTTAATTGCGATAACGAACGAGACCTTAACCTACTAAATAGTGCTGCTAGCTTTTGCTGGTATAGTCACTTCTTAGAGGGACTATCGATTTCAAGTCGATGGAAGTTTGAGGCAATAACAGGTCTGTGATGCCCTTAGACGTTCTGGGCCGCACGCGCGCTACACTGACGGAGCCAACGAGTATTAACCTTGGCCGAGAGGTCTGGGAAATCTTGTGAAACTCCGTCGTGCTGGGGATAGAGCATTGTAATTATTGCTCTTCAACGAGGAATTCCTAGTAAGCGCAAGTCATCAGCTTGCGTTGATTACGTCCCTGCCCTTTGTACACACCGCCCGTCGCTACTACCGATTGAATGGCTTAGTGAGGCCTCCGGATTGGTTTAAAGAAGGGGGCAACGACCCATCTTGGAACCGAAAAGTTGGTCAAACTTGGTCATTTAGAGGAAGTAAAAGTCGTAACAAGGTTTCCGTAGGTGAACCTGCAGAAGGATCAGGTGCTGCTTGTCCAGGGTTTGTGTAACCTTTTAACCTTAGCAATACGTAACTGAACGAAGTACAATACGTCGCCAGTGAGTTGCGCGACACGGATGCCGCGCACACCTAAATGGCGACGCCTATTTAGCAGGTTAGAGTCTCGTTCGTTACCGGAATTAACCAGACAAATCGCTCCACCAACTAAGAACGGCCATGCACCACCACCCACCGAATCAAGAAAGAGCTGTTAATCTGCTGTCAATCCTTCCGGTGTCCGGGCCTGGTAGATTTCCCGTGTTGAGTCAAATTAAGCCGCAGGCTCCACTCCTGGTGTGCCCTTCCGTCAATTCAGGTGCTGCTTGTCCAGGGTTTGTGTCACTTTCTTAACCTTAGCAATACGTAACTGAACGAAGCAATACCAC</t>
  </si>
  <si>
    <t>&gt;consensus_cl_id_1_total_supporting_reads_24</t>
  </si>
  <si>
    <t>GATGTACTTCGTTCAGTTACGTCGTGTTACGACTTCTTCATCCTCTAGATGATAAGGCTCACAACATTTCCTCACGAAGAGCAGTGCAGAGCAAAGCAGCTACGTAAGTCCATGTAATTTGCCGGATCATCCAATCGGTTGAAGCGACGGGCGGTGTGTACAAAGGGCAGGGACGTAATCAGCACAAGGTGATGACTTGTCCTTACTAGGAATTCCTCGTTCATGACCCATAATTGCAAAGGTCAATCCCTATCACGACGGAGTTTCACAAGATTTCCCGCTTCGTACGAAGTAGGGCAGAGCTCGCTGACTCCGTCATTGTAGCGCACGTGCAGCCCAGACCATCTAAGGGACGTAAC</t>
  </si>
  <si>
    <t>GTTACGTCCCTTAGATGGTCTGGGCTGCACGTGCGCTACAATGACGGAGTCAGCGAGCTCTGCCCTACTTCGTACGAAGCGGGAAATCTTGTGAAACTCCGTCGTGATAGGGATTGACCTTTGCAATTATGGGTCATGAACGAGGAATTCCTAGTAAGGACAAGTCATCACCTTGTGCTGATTACGTCCCTGCCCTTTGTACACACCGCCCGTCGCTTCAACCGATTGGATGATCCGGCAAATTACATGGACTTACGTAGCTGCTTTGCTCTGCACTGCTCTTCGTGAGGAAATGTTGTGAGCCTTATCATCTAGAGGATGAAGAAGTCGTAACACGACGTAACTGAACGAAGTACATC</t>
  </si>
  <si>
    <t>&gt;consensus_cl_id_14_total_supporting_reads_116</t>
  </si>
  <si>
    <t>TGAGACCTGTTATTGCTCAATCTCGTGCGGCTCGAAGCCGCCGGTCCCTCTAAGAAGAATTTTAATACGTCGCCAGTGAGTTGCGCGACACGATGCCGCGCACACCTAAATGGCGACGCCTATTTAGCAGGCTAGAGTCTCGTTCGTTATCGGAATTAACCAGACAAATCGCTCCACCAACTAAGAACGGCCATGCACCACCACCCACCGAATCAAGAAAGAGCTGTTAATCTGTCAATCCTTCCGGTGTCCGGGCCTGGTGAGATTTCCCGTGTTGAGTCAAATTAAGCCGCAGGCTCCACTCCTGGTGGTGCCCTTCCGTCAATTCAGGTGCTGCTTGTCCAGGGTTTGTGTAACCTTTTAACCTTAGCAATACGTAACT</t>
  </si>
  <si>
    <t>Sg</t>
  </si>
  <si>
    <t>Schistocerca gregaria</t>
  </si>
  <si>
    <t>Gb G</t>
  </si>
  <si>
    <t>&gt;consensus_cl_id_64_total_supporting_reads_81</t>
  </si>
  <si>
    <t>ATGCAGCCCAGACCATCTAAGGGCGTGTTACGATTTCATCCTCTAGATGATAAGGCTCACAACATTTCCTCACGAAGTGCGATGTAGAACAAGGCGACTACGTAAGTCCATGTAATTTGCCGGATCATCCAATCGGTTGAAGCGACGGGCGGTGTGTACAAAGGGCAGGGACGTAATCAGCACAAGGTGATGACTTGTCCTTACTAGGAATTCCTCGTTCATGACCCATAATTGCAAAGGTCAATCCCTATCACGACGGAGTTTCACAAGATTTCCCGCTTCGTACGAAGTAGGGCAGAGCTCGCTGACTCCGTCATTGTAGCGCACGTGCAGCCCAGACCATCTAAGGGAGGTGCTGTTCTCGCAAAGGCAGAAAGTAGTCTTAACCTTAGCAATACGTAAC</t>
  </si>
  <si>
    <t>GTTACGTATTGCTAAGGTTAAGACTACTTTCTGCCTTTGCGAGAACAGCACCTCCCTTAGATGGTCTGGGCTGCACGTGCGCTACAATGACGGAGTCAGCGAGCTCTGCCCTACTTCGTACGAAGCGGGAAATCTTGTGAAACTCCGTCGTGATAGGGATTGACCTTTGCAATTATGGGTCATGAACGAGGAATTCCTAGTAAGGACAAGTCATCACCTTGTGCTGATTACGTCCCTGCCCTTTGTACACACCGCCCGTCGCTTCAACCGATTGGATGATCCGGCAAATTACATGGACTTACGTAGTCGCCTTGTTCTACATCGCACTTCGTGAGGAAATGTTGTGAGCCTTATCATCTAGAGGATGAAATCGTAACACGCCCTTAGATGGTCTGGGCTGCAT</t>
  </si>
  <si>
    <t>Gb V1f</t>
  </si>
  <si>
    <t>V1f / 530R</t>
  </si>
  <si>
    <t>CCGCGGCKGCTGGCAC</t>
  </si>
  <si>
    <t>&gt;consensus_cl_id_33_total_supporting_reads_172</t>
  </si>
  <si>
    <t>ACGCACCAGTCTTGACCTCCTGTTACCAGTGCGCTCTCTGCCCGCACATCGTATCCACGTCTCATCACTACCGCCGCGAATGCGCGCTTCGGTAAGTTGCGCGCCTGCTGCTGTCCTTGGACCTGGTAGCCGTCTCTCAGGCTCCCTCTCCGGAATCGGACCCCGATCCCCCGTACCCGTCTTCGCCTAAGTAGGCCCTTACCCTACTTACTAGCTGATGGGATGGCTCCTTACTCTCCCGCACGGCACAAGTGCCGTTCGCTGCGCGCCCTGCAGGGCTCGCCGCTCGCGTTTTGGCCCCCGCTTACAGGGGTTGTCCGCCCGGGAGAACAAATAAGACGCCCCTTACTGAGCCGTACGCCGCTCCGCCACTGGCTTCGCTTGCACATGCATGGCTAAATCTGTGAGACTAGCATCCACGTCAGGCAGAATCAACCTGGTGAGGTGCTGTTCTCGCAAAGGCAGAAAGTAGTCTTAACCTTAGCAATACGTAACTT</t>
  </si>
  <si>
    <t>Pleistophoridae sp. YST-2017a</t>
  </si>
  <si>
    <t>AAGTTACGTATTGCTAAGGTTAAGACTACTTTCTGCCTTTGCGAGAACAGCACCTCACCAGGTTGATTCTGCCTGACGTGGATGCTAGTCTCACAGATTTAGCCATGCATGTGCAAGCGAAGCCAGTGGCGGAGCGGCGTACGGCTCAGTAAGGGGCGTCTTATTTGTTCTCCCGGGCGGACAACCCCTGTAAGCGGGGGCCAAAACGCGAGCGGCGAGCCCTGCAGGGCGCGCAGCGAACGGCACTTGTGCCGTGCGGGAGAGTAAGGAGCCATCCCATCAGCTAGTAAGTAGGGTAAGGGCCTACTTAGGCGAAGACGGGTACGGGGGATCGGGGTCCGATTCCGGAGAGGGAGCCTGAGAGACGGCTACCAGGTCCAAGGACAGCAGCAGGCGCGCAACTTACCGAAGCGCGCATTCGCGGCGGTAGTGATGAGACGTGGATACGATGTGCGGGCAGAGAGCGCACTGGTAACAGGAGGTCAAGACTGGTGCGT</t>
  </si>
  <si>
    <t>CGGTAATTCCAGCTCCAAT</t>
  </si>
  <si>
    <t>TGACTTGCGCTTACTAGGG</t>
  </si>
  <si>
    <t>&gt;consensus_cl_id_3_total_supporting_reads_3</t>
  </si>
  <si>
    <t>ATTCCTCGTTGAAGAGCAAAAATTACAATGCTCTATCCCCAGCACGACGGAGTTTCACAAGATTACCCGGGCCTCTCGGCAAAGGTTAGACTCGCTGGCTCCGTCAGTAGGCGCGCGTGCGGCCCAGAACGTCTAAGGGCATCACAGACCTGTTATTGCCTCAAACTTCCATCTGCTTGAATAGATAGTCCCTCTAAGAAGGCTCCCAGCAGATGCTCGCAGCGTGCCTATTTAAGGTTAGGTCTCGTTCGTTATCGCAATTAAGCAGACAAATCACTCCACCAACTAAGAACGGCCATGCACCACCACCCACAAAATCAAGAAAGCTCTCAATCTGTCAATCCTTATTGTGTCTGGACCTGGTGAGTTTCCCCGTGTTGAGTCAAATTAAGCCGCAGGCTCCACTCCTGGTGGTGCCCTTCCGTCAATTCCTTTAAGTTTCAGCCTTGCGACCATACTCCCCCAGAACCCAAAAACTTTGATTTCTCGTAAGGTGCCGAGTGCGTCAAAGAGCACACCCGATCCCTAGTCGGCATAGTTTATGGTTAAGACTACGACGGTATCTGATCATCTTCGATCCCCTAACTTTCGTTCTTGATTAATGAAAACGTCCTTGGCAAATGCTTTCGCAGTAGTTAGTCTTCAGTAAATCCAAGAATTTCACCTCTGACGACTGAATACTGATGCCCCCGACCGTCCCTATTAATCATTACGATGGTCCTAAAAACCAACAAAATAGAACCATTGTCCTATTCTATTATTCCATGCTAATATATTCGAGCAATACGCCTGCTTTGAACACTCTAATTTTTTCAAAGTAATCGTCCTGGTCCGAGGAAACCAGAAGGAAAGGTGAGGTCCCGCCTCAACATGCTACCAAGTGGACCGTCCGCCCACGCCCAAAGTTCAACTACGAGCTTTTTAACTGCAACAACTTTAATATACGCTCTTGGAGCTGGAATTACCGAGGTGGTCTTCCGTGAATAGTCCTGTAACCTTGCTGGCCACATGT</t>
  </si>
  <si>
    <t>Kodamaea sagamina</t>
  </si>
  <si>
    <t>Gb DK V1f</t>
  </si>
  <si>
    <t>&gt;consensus_cl_id_9_total_supporting_reads_69</t>
  </si>
  <si>
    <t>TGCACCAAACTTGCCCTCCAATAAATATTAGTATTTTTTATATACCATATTATAAATATATATACGTCTCATAACTGTTTCCTCATATAAAAAGAGTAGAACAATTTTCGCGCCTGCTGCCGTCCTTGGACGTGGGAGCCATCTCTCAGGCTCCCTCTCCGGAATAAAACCCTAATTTCCCGTTACCCGTCATAGCCTTGGTAGTCCTTTACACTACCAACTAGCTGATAGGGTTGCGACTTATTCTATCATATTAGCCACAGCTTACCGTGGTTATTTTGTTAAATAGAGCAAATTATCGCAACATTACTGAGCCGTTCGTCGTATATTGTATTATTATATATACATATATATGTATATAAATACAAAAACTAAACATGCATGGCTAAATCTTAGAGACTAGCATCTACGTCAGGCAGAATCAACCTGGTGAGGTGCTGCTTGTCCAGGGTTTGTGTAACCTTTTAACCTTAGCAATACGTAACTTC</t>
  </si>
  <si>
    <t>GAAGTTACGTATTGCTAAGGTTAAAAGGTTACACAAACCCTGGACAAGCAGCACCTCACCAGGTTGATTCTGCCTGACGTAGATGCTAGTCTCTAAGATTTAGCCATGCATGTTTAGTTTTTGTATTTATATACATATATATGTATATATAATAATACAATATACGACGAACGGCTCAGTAATGTTGCGATAATTTGCTCTATTTAACAAAATAACCACGGTAAGCTGTGGCTAATATGATAGAATAAGTCGCAACCCTATCAGCTAGTTGGTAGTGTAAAGGACTACCAAGGCTATGACGGGTAACGGGAAATTAGGGTTTTATTCCGGAGAGGGAGCCTGAGAGATGGCTCCCACGTCCAAGGACGGCAGCAGGCGCGAAAATTGTTCTACTCTTTTTATATGAGGAAACAGTTATGAGACGTATATATATTTATAATATGGTATATAAAAAATACTAATATTTATTGGAGGGCAAGTTTGGTGCA</t>
  </si>
  <si>
    <t>&gt;consensus_cl_id_84_total_supporting_reads_80</t>
  </si>
  <si>
    <t>GCTGGCACCAGTCTTGACCTCCTGTTACCAGTGCGCTCTCTGCCCGCACATCGTATCCACGTCTCATCACTACCGCCGCGAATGCGCGCTTCGGTAAGTTGCGCGCCTGCTGCTGTCCTTGGACCTGGTAGCCGTCTCTCAGGCTCCCTCTCCGGAATCGGACCCCGATCCCCCGTACCCGTCTTCGCCTAAGTAGGCCCTTACCCTACTTACTAGCTGATGGGATGGCTCCTTACTCTCCCGCACGGCACAAGTGCCGTTCGCTGCGCGCCCTGCAGGGCTCGCCGCTCGCGTTTTGGCCCCCGCTTACAGGGGTTGTCCGCTCCGGGAGAACAAATAAGACGCCCCTTACTGAGCCGTACGCCGCTCCGCCACTGGCTTCGCTTGCACATGCATGGCTAAATCTGTGAGACTAGCATCCACGTCAGGCAGAATCAACCTGGTGAGGTGCTGCTTGTCCAGGGTTTGTGTAACCTTTTAACCTTAGCAATACGTAACTT</t>
  </si>
  <si>
    <t>AAGTTACGTATTGCTAAGGTTAAAAGGTTACACAAACCCTGGACAAGCAGCACCTCACCAGGTTGATTCTGCCTGACGTGGATGCTAGTCTCACAGATTTAGCCATGCATGTGCAAGCGAAGCCAGTGGCGGAGCGGCGTACGGCTCAGTAAGGGGCGTCTTATTTGTTCTCCCGGAGCGGACAACCCCTGTAAGCGGGGGCCAAAACGCGAGCGGCGAGCCCTGCAGGGCGCGCAGCGAACGGCACTTGTGCCGTGCGGGAGAGTAAGGAGCCATCCCATCAGCTAGTAAGTAGGGTAAGGGCCTACTTAGGCGAAGACGGGTACGGGGGATCGGGGTCCGATTCCGGAGAGGGAGCCTGAGAGACGGCTACCAGGTCCAAGGACAGCAGCAGGCGCGCAACTTACCGAAGCGCGCATTCGCGGCGGTAGTGATGAGACGTGGATACGATGTGCGGGCAGAGAGCGCACTGGTAACAGGAGGTCAAGACTGGTGCCAGC</t>
  </si>
  <si>
    <t>Gb DK G</t>
  </si>
  <si>
    <t>&gt;consensus_cl_id_0_total_supporting_reads_114</t>
  </si>
  <si>
    <t>ATCATCCTCTAGATGATAAGGCTCACAACATTTCCTCACGAAGTGCGATGTAAAACAAGGCGACTACGTAAGTCCATGTAATTTGCCGGATCATCCAATCGGTTGAAGCGACGGGCGGTGTGTACAAAGGGCAGGGACGTAATCAGCACAAGGTGATGACTTGTCCTTACTAGGAATTCCTCGTTCATGACCCATAATTGCAAAGGTCAATCCCTATCACGACGGAGTTTCACAAGATTTCCCGCTTCGTACGAAGTAGGGCAGAGCTCGCTGACTCCGTCATTGTAGCGCACGTGCAGCCCAGACCATCTAAGGGAGGTGCTGCTTGTCCAGGGTTTGTGTAACCTTTTAACCTTAGCAATACGTAACT</t>
  </si>
  <si>
    <t>Bd WL1</t>
  </si>
  <si>
    <t>Blaptica dubia</t>
  </si>
  <si>
    <t>WL1 / EukP3</t>
  </si>
  <si>
    <t>GCGCTACCTGGTTGATCCTGCC</t>
  </si>
  <si>
    <t>GACGGGCGGTGTGTAC</t>
  </si>
  <si>
    <t>AAAGGGCAGGGACGTAATCAACGCGAGCTTATGACTTGCGCCTTACGGGAATTCCTCGTTCATGGGGAACAATTGCAAGCCCAATCCCTAGCACGAAGGAGGTTCAGCAGGTTACCAGGACCTCTCGGCCAGGGAGGACACGCTGATTCCTTCAGTGTAGCGCGCGTGCGGCCCAGAACATCTAAGGGCATCACAGACCTGTTATTGCTCAATCCATGCGGCTTGGAAACCGCCTGTCCCTCTAAGAAGATCGAAGAACCAGCAAGGATCCGGAAGCGACTGGTTAGTCGGTTAAGGTCTCGTTCGTTATCCGGAATTAACCAGACAAATCGCTCCACCAACTAAGAACGGCCATGCACCACCACCCACAAATCAAAAAGAGCTATCAATCTGTCAATCCTCCCGGTGTCGGACTGGTGAGGTTTCCCCGTGTTGAGTCAAATTAAGCCGCAGGCTCCACCTCTGGTGGTGCCCTTCCGTCAATTCCTTTAAGTTTCAGCTTTGCAACCATACTTCCCCGGAACCCAAAAGCTTTGATTTCCCGAAGCCGCCCGCCGAGTCATCAGAGGAACTTCGGCGGATTCTGGCTGGCATCGTTTGTGGTTAAGAACTAGGGCGGTATCTGATCGCCTTCGACTCTAACTTTCGTTCTTGATAAGAAAACATTCTTGGCAAATGCTTTCGCGTCGGTCCGTCTTGCGACGATCCAAGAATTTCACCTCTAACGTCGCAATACGATGCCCCCGACCATCCCTATTGATCATTATCGAGGGATTCCGAAAACCAACAAAATAGAACCGAGGTCCTATTCCATTATTCCATGCACTCAGTATTCAGGCGGATGCTGCCTGCTTTAAACACTCTAATTTGTTCAAAGTAAACGTGCCGGCCCATCGTGACACTCGGTTAAGAGCACCGCGAGGGTAGGAGCCCCTCCCCAAAGACCGGGTTCGAGGTGGAGACCCAGAAGGACTCGCACCGAGAGCCCGGTCGCACCGCAGTACGTGCATGCAAAAAGCCGACGGGCGGTGAACCGGCAGCGTGTGACACAAGTCCGACTACGAGCTTTTTAACCGCAACAACTTTAATATACGCTATTGGAGCTGGAATTACCGCGGCTGCTGGCACCAGACTTGCCCTCCAATGGATACTCGTTAAAGGATTTAAAGTGTGCTCATTCCGATTACGGGGCCTCGGATGAGTCCCGTATCGTTATTTTCGTCACTACCTCCCCGTGCCGGGAGTGGGTAATTTGCGCGCCTGCTGCCTTCCTTGGATGTGGTAGCCGTTTCTCAGGCTCCCTCTCCGGAATCGAGCCCTGATTCCCCGTTACCCGTTACAACCATGGTAGGCGCAGAACCTACCATCGACAGTTGATAAGGCAGACATTTGAAAGATGCGTCGCCGGTACGAAGACCGTGCGATCTGCCACAATTTATTCAGAGTCACCAAGGCAAACGGACGCAAGCGCCCGATTGGTTTGATCTAATAAAAGCGTCCCTGCCGCTTCCGGTCGGGACTGAGTTGCATGTATTAGCTCTAGAATACCGCAGTTATCGATCCGTTTGTCACCATCTCTAAGGAACCATAACTGATTTAATGAGCCATTCGCGGTTTCACCTTGGTGCGGCTTGCACTGAGACATGCATGGCTTAATCTTTGAGACAAGCATGTTCTGTAGGATCA</t>
  </si>
  <si>
    <t>Bd  G</t>
  </si>
  <si>
    <t>&gt;consensus_cl_id_28_total_supporting_reads_195</t>
  </si>
  <si>
    <t>ATTTGTACTTCGTTCAGTTACGTATTGCTAGGTAAACAGACGACTACAAACGGAATCCATCCTCTAGAAGATAAGGCTCACAGCATTTCCGCTTCCTCGTACTGAAGGAACTCCAGTATCAGAAACGTCCATGCAATTTGCCGGATCATCCAATCAGTTGAAGCGACGGGCGGTGTGTACAAAGGGCAGGGACATAATCAACATGTGATTATGACACATCTTTACTAGGAATTCCTGGTTCACAACCCATAATTGCAAGGGTTGATCCCTAATATGGCGGAGTTTCACAAGCTTTGCCACTCTTTGCAGAGCAGCAGAGACCTTGCTGATTCCGCCATTGTAGCACACGTGCAGCCCAGACCATCTAAGGGAGGTGCTGTCGATTCCGTTTGTAGTCGTCTGTTTAACCTTAGCAATACAACT</t>
  </si>
  <si>
    <t>AGTTGTATTGCTAAGGTTAAACAGACGACTACAAACGGAATCGACAGCACCTCCCTTAGATGGTCTGGGCTGCACGTGTGCTACAATGGCGGAATCAGCAAGGTCTCTGCTGCTCTGCAAAGAGTGGCAAAGCTTGTGAAACTCCGCCATATTAGGGATCAACCCTTGCAATTATGGGTTGTGAACCAGGAATTCCTAGTAAAGATGTGTCATAATCACATGTTGATTATGTCCCTGCCCTTTGTACACACCGCCCGTCGCTTCAACTGATTGGATGATCCGGCAAATTGCATGGACGTTTCTGATACTGGAGTTCCTTCAGTACGAGGAAGCGGAAATGCTGTGAGCCTTATCTTCTAGAGGATGGATTCCGTTTGTAGTCGTCTGTTTACCTAGCAATACGTAACTGAACGAAGTACAAAT</t>
  </si>
  <si>
    <t>Ga DK G</t>
  </si>
  <si>
    <t>&gt;consensus_cl_id_4_total_supporting_reads_1</t>
  </si>
  <si>
    <t>AAAGGGCAGGGACGTAATCAGCACAAGGTGATGACTTGTCCTTGCAAGATTCACCGTTCATGACCCATAATTGCAAAGGTCAATCCCTATCACGACGGAGTTTCACAAGATTTCCCGCTCCGTACGGATGGGGTGAAACTCGCTGACTCCGTCATTGCTTAGCCACGATGCAGCCCAGACCATCTAAAGCACTTGGGTTGATTCTGCCTGTCGAGACTGTATGGAGTGCATGTCGAGTGCGCGTCAGATGCGTGTCGGATGCGTGTCGGATGCGTGTCGAAAGCGTGTCAGCATGTCGAAAGCGTGTCGAAATCGTGTCGTATGCGTATGCAGTTGCGTGTCGGGGCAATATCGGGGTGCGTGTTGGGCGCATGCCGGGTGCGTGTCGAGTGCATGTCGAGTGCGTGTCGCGTGTGTGGGAAGAGCGTGTCGCACACGTGTCGGCTACCCGTTTACAGCGTTTTACGAGAGCCTATACAGTGCGCGTCGATTGCGCATCAAATGTGCATCAGGTGCGTACCTGTATGTTGAACAAACATATCGGAATATGCATCAATGGCGGGTACGTGTCAGGTGTGCATGTCGGAAGCGTGTCGAATGCGTACCAGGCCCGCAAGCAGCGCGCTTTGTGGGCGCATCGGGCCGTGGCTTTATGAGCCGCGTGCGTGTCAGGTGCGTGTCGGGAGCGTGCCGGCTGCTTGTCAGTGGCGAGTCGGGTGTTACAGGTGCGTGTCTGTTGCGGGTCAGGAATATCGGTTGAGTGTGTGCTTGGCGCGTAGCTTGTGGGCGTCGGGTCCATGTCTTGGTGTAACGGGTGCGTGTCAAGTGCGTGTCGGGAGCGTGTCGGCTGCTAGTCACGGGCTTGTCGGGTGAGTATCGGGTGCATGTCTGGGCGCTCACCCGAGCAAACCCAACATCCCCGACACGCGCACCCGTTCCACGCGGGCCGAGCGCTCGCCGCCGCGCCAAGCGCGGTAACCGATATTCGGCTCGCGGGCGCGCACCGGCGCAGCCGGCCGCACCTGTACCCGCACAAGCCCGCCGCAAGCCGCACGCGTCTGGTCCCGCTCGCCCGACGGCACGACGCCCGCCATTGTCCGATGCACTGCTGCTGCGCACCTGATGCGCATTTGTCTGTCGGGCGCGCACTGGGTACTCAGGGAGCGCTGTAGGCGGGCGGCCGTACGTGTGCGGTACGCTCACACGCGACACGCACTCGACGAGCACGCACCCGTATGCACCTGTCGGTCTCCGACGCGCGGCTTCGCATACGCGCGCCATTTCGACACGCTCGGTATGCTGCACTCGGCTTACGCATCCGGCCGCGGAGAAGTGCTGTGAGCTCGTCGTGTGACGCTGCAGTATGGTATGGAGTCCATGAAGAAATTCATGTAAGGACAAGTCATCACCTTGTGCTGATTACGTCCTGCCCTGGCGCACGCCCGTCGCATGGCCGATTGGACGTCCGGCTGTGCCCGTGAGCCCCGTAGCCCGTCGCTTCTTCAGAAATGTTGTGAGCCTTGTCGTCCCAGAGTGAAAGAAGTCGCCCGCGCAGGTGCTGGTACCGTGAGATAGTCGCGCGCCCAGCGGCGTA</t>
  </si>
  <si>
    <t>T Ga WL</t>
  </si>
  <si>
    <t>Alphitobius diaperinus gregarine</t>
  </si>
  <si>
    <t>AAAGGGCAGGGACGCAATCAGCACAATTATTATGAACTATACTTACTAGGAATTCCTCGTTCATGAGCCAAAATTACAAAACTCAATCCCTAACACGACACTATTTTCGTGATTTCACATTTCTTTCGAAATGTAAGGCTTGTTGCTAGAGTCATTGTAGCACACGTGCAGCCCAGGCCATCTAAGGGCATCATAGACCTGTTATAGCTATGATCTTACCTGGGGTAAAACCCCAGAGTCCTTCTCCATACAGCTTCTCAGGAATGATGAGAAGAGAAAGGAGACAACCGAGATCTCGTCCGTTATCGGAATTAACCAGACAAGTCACCTCACCGACTAAGAACGGCCATGCACCACCACCCATAGAATCAAGAAAGATCTCTTCACCTGTCAATCATAACCATGTCCGGGCCTGGTAAAATTCCCCGTGTTGACTCAAATTAAGCCGCAGGCTCCACTCCTGGTGGTGCCCTTCCGTCAATTCCTTCAAGTTTCGGCGACCGCTTACTCCCCCCAGACAAAACTCCAGATTTCTCAGGAATTCAGCGGAATTATCTTCTGCCAAATTTCGGTCGGCATAGTTTACGGTTGGGACTACGACGGTATCTAAATCGTCTTCAAATGCCCCCAACTTTCGTCCTTGATTAACAAGTGTACTAGATAAATGCCTCCGCATTTTGTTTGTCTTTTACCAAGGTCTCAGAATTTCACCTCTCTCCAGTAAGTACAAATATCCCGTACGTCATATTAGCTAGTATCCTTGCCTTTGAAACCAACAGACAAAGCCTTGTCTTGTTATCCCATGCTTTAAAGAACAAGCAAGCGCCTAATCGGAGCTTTTCTTTTCCTCAAAGTAACTGAAATCTCTGTAAAACAGTGATTTCAACAAGCTTTCCAAATCATGTGACCCAGATCGCTCGTTAGAAATTCAACTACGAACGCTTCAACTGCAGCAACTTTAATATATGCTATTGGAGCTGGAATTACCGCGGCTGCTGGCACCAGACTTGCCCTCCAATTGTTTTCTCACGGAATGTTTTAAGTTCCGTCCATTGCAATCGACAAATCGTAATTTGACGCTGCTATGTCAAGTCACTACTCCCCTTGTCGGGATTGGGTAATTTGCGCGCCTGCTGCCATCCTTAGATGTGGTAGCTGTCTCTCAGGCTCCTCTCAGATGAACTTTAATTCCCCGTTACCCGTCAAAGCCTCTGACTTGAATACGCTTTAATTTCTACCGACAAAGCTGATAGGTTCGAAAGCCCATTCGGCATGTCATATGACGATCGACATATCACCATGATCACCAGAACGGTAAACCGTTTGTTTCAAAGCTGATATATGCCTTCCTTTGGAATAAGCATGTATTAGCCACAGAATTACCATGGATATCCATTTAAGATACTACCGAATTGGTTACAACGATTTTAATGAGCTATTCGCAGTTTCTATATTCCCAATGGAACTGACACTTGCATGGCTTAATCTTTGAAACAAGCATATGACTACTGGCAGGATCAACCAGGTAGCGCAGGTGCTGGTGTTACCGTGGAATGAATCCTTTTAACCCCTTAGCAATACGTA</t>
  </si>
  <si>
    <t>Gregarina ormierei</t>
  </si>
  <si>
    <t xml:space="preserve">Ga DK G </t>
  </si>
  <si>
    <t>&gt;consensus_cl_id_916_total_supporting_reads_99</t>
  </si>
  <si>
    <t>TGCATCCTCTAGATGATAAGGCTCACAACATTTCCTCACGAAGTGCGATGTAAAACAAGGCGACTACGTAAGTCCATGTAATTTGCCGGATCATCCAATCGGTTGAAGCGACGGGCGGTGTGTACAAAGGGCAGGGACGTAATCAGCACAAGGTGATGACTTGTCCTTACTAGGAATTCCTCGTTCATGACCCATAATTGCAAAGGTCAATCCCTATCACGACGGAGTTTCACAAGATTTCCCGCTTCGTACGAAGTAGGGCAGAGCTCGCTGACTCCGTCATTGTAGCGCACGTGCAGCCCAGACCATCTAAGGGAGGTGCTGGTGTTACCGTGGGAATGAATCCTTTTAACCTTAGCAATACGTAACTT</t>
  </si>
  <si>
    <t>AAGTTACGTATTGCTAAGGTTAAAAGGATTCATTCCCACGGTAACACCAGCACCTCCCTTAGATGGTCTGGGCTGCACGTGCGCTACAATGACGGAGTCAGCGAGCTCTGCCCTACTTCGTACGAAGCGGGAAATCTTGTGAAACTCCGTCGTGATAGGGATTGACCTTTGCAATTATGGGTCATGAACGAGGAATTCCTAGTAAGGACAAGTCATCACCTTGTGCTGATTACGTCCCTGCCCTTTGTACACACCGCCCGTCGCTTCAACCGATTGGATGATCCGGCAAATTACATGGACTTACGTAGTCGCCTTGTTTTACATCGCACTTCGTGAGGAAATGTTGTGAGCCTTATCATCTAGAGGATGCA</t>
  </si>
  <si>
    <t>T Ga G</t>
  </si>
  <si>
    <t>&gt;consensus_cl_id_4_total_supporting_reads_100</t>
  </si>
  <si>
    <t>ATCCATCCTCTAGATGACAAGGCTTATTCCGCTTCCATTTCACAAAGGCGAATGCCAATATAAAATGTCCACAGAATTCACCGGATCATCCAATCGGTTGAAGCGACGGGCGGTGTGTACAAAGGGCAGGGACGCAATCAGCACAGTATTATGAACTATACTTACTAGGAATTCCTCGTTCATGAGCCAAAATTACAAAACTCAATCCCTAACACGACACTATTTTCGTGATTTCACATTTCTTTCGAAATGTAAGGCTTGTTGCTAGAGTCATTGTAGCACACGTGCAGCCCAGACCATCTAAGGGAGGTGCTGGTGTTACCGTGGGAATGAATCCTTTTAACCTTAGCAATACGTAACTTC</t>
  </si>
  <si>
    <t>GAAGTTACGTATTGCTAAGGTTAAAAGGATTCATTCCCACGGTAACACCAGCACCTCCCTTAGATGGTCTGGGCTGCACGTGTGCTACAATGACTCTAGCAACAAGCCTTACATTTCGAAAGAAATGTGAAATCACGAAAATAGTGTCGTGTTAGGGATTGAGTTTTGTAATTTTGGCTCATGAACGAGGAATTCCTAGTAAGTATAGTTCATAATACTGTGCTGATTGCGTCCCTGCCCTTTGTACACACCGCCCGTCGCTTCAACCGATTGGATGATCCGGTGAATTCTGTGGACATTTTATATTGGCATTCGCCTTTGTGAAATGGAAGCGGAATAAGCCTTGTCATCTAGAGGATGGAT</t>
  </si>
  <si>
    <t>T Ga 18S</t>
  </si>
  <si>
    <t>&gt;consensus_cl_id_213_total_supporting_reads_117</t>
  </si>
  <si>
    <t>GTGTACTTCGTTCAGTTACGTATTGCTAAGGTTAAAAAAGTTCACATTACAGTAACACCAGCACCTCGGCAATTCCAGCTCCAAAAGCGTATATTAAAGTTGTTGCAGTTAAAAAGCTCGTAGTTGAACTTTGGGTGTGGCTGGCCGGTCCACTTTCGGTGCGTACTGACCGGCACGCACCTTTCCTTCTGGCGCCCTCGTGGCGAACCAGGACTTTTACTTTGAAAAAATTAGAGTGTTCAAAGCAGGCATATTGCTCGAATATATTAGCATGGAATAATAGAATAGGACTATGGTTCTATTTTGTTGGTTTTCAGGACCATTGTAATGATTAATAGGGACGGTCGGGGGCATCAGTATTCAGTTGTCAGAGGTGAAATTCTTGGATTTACTGAAGACTAACTACTGCGAAAGCATTTGCCAAGGACGTTTTCATTAATCAAGAACGAAAGTTAGGGGATCGAAGATGATCAGATACCGTCGTAGTCTTAACCATAAACTATGCCGACTAGGGATCGGGCGCTGTTCATTTTGACACGCTCGGCACCTTACGAGAAATCAAAGTTTTTGGGTTCTGGGGGAGTATGGTCGCAAGGCTGAAACTTAAAGGAATTGACGGAAGGGCACCACCAGGAGTGGAGCCTGCGGCTTAATTTGACTCAACACGGGGAAACTCACCAGGTCCAGACACAATAAGGATTGACAGATTGAGAGCTCTTTCTTGATTTTGTGGGTGGTGGTGCATGGCCGTTCTTAGTTGGTGGAGTGATTTGTCTGCTTAATTGCGATAACGAACGAGACCTTAACCTGCTAAATAGTGCAGCTAGCTTTTGCTGGTTTGATGCCTTCTTAGAGGGACTATCGACATCAAGTCGATGGAAGTTTGAGGCAATAACAGGTCTGTGATGCCCTTAGACGTTCTGGGCCGCACGCGCGCTACACTGACGGAGCCAGCGAGTCTTACCTTGGCCGAGAGGCCCGGGAAATCTTGTGAAACTCAGTCGTGCTGGGGATAGAGCATTGTAATTTTTGCTCTTCAACGAGGAATTCCTAGTAAGCGCAAGTCAAGGTGCTGGTGTTACCGTGGGAATGAATCCTTTTAACCTTAGCAATACGTAACTGAACGAAGTACAACAAAAAAACTGAACGAAAAAAAAAAAAAAAAAAAAAAAAACTG</t>
  </si>
  <si>
    <t>Ga DK V1f</t>
  </si>
  <si>
    <t>&gt;consensus_cl_id_5_total_supporting_reads_205</t>
  </si>
  <si>
    <t>CCAGTCTTGACCTCCTGTTACCAGTGCGCTCTCTGCCCGCACATCGTATCCACGTCTCATCACTACCGCCGCGAATGCGCGCTTCGGTAAGTTGCGCGCCTGCTGCTGTCCTTGGACCTGGTAGCCGTCTCTCAGGCTCCCTCTCCGGAATCGGACCCCGATCCCCCGTACCCGTCTTCGCCTAAGTAGGCCCTTACCCTACTTACTAGCTGATGGGATGGCTCCTTACTCTCCCGCACGGCACAAGTGCCGTTCGCTGCGCGCCCTGCAGGGCTCGCCGCTCGCGTTTTGGCCCCCGCTTACAGGGGTTGTCCGCCCCGGGAGAACAAATAAGACGCCCCTTACTGAGCCGTACGCCGCTCCGCCACTGGCTTCGCTTGCACATGCATGGCTAAATCTGTGAGACTAGCATCCACGTCAGGCAGAATCAACCTGGTGAGGTGCTGGTGTTACCGTGGGAATGAATCCTTTTAACCTTAGCAATACGTAACTTAACT</t>
  </si>
  <si>
    <t>AGTTAAGTTACGTATTGCTAAGGTTAAAAGGATTCATTCCCACGGTAACACCAGCACCTCACCAGGTTGATTCTGCCTGACGTGGATGCTAGTCTCACAGATTTAGCCATGCATGTGCAAGCGAAGCCAGTGGCGGAGCGGCGTACGGCTCAGTAAGGGGCGTCTTATTTGTTCTCCCGGGGCGGACAACCCCTGTAAGCGGGGGCCAAAACGCGAGCGGCGAGCCCTGCAGGGCGCGCAGCGAACGGCACTTGTGCCGTGCGGGAGAGTAAGGAGCCATCCCATCAGCTAGTAAGTAGGGTAAGGGCCTACTTAGGCGAAGACGGGTACGGGGGATCGGGGTCCGATTCCGGAGAGGGAGCCTGAGAGACGGCTACCAGGTCCAAGGACAGCAGCAGGCGCGCAACTTACCGAAGCGCGCATTCGCGGCGGTAGTGATGAGACGTGGATACGATGTGCGGGCAGAGAGCGCACTGGTAACAGGAGGTCAAGACTGG</t>
  </si>
  <si>
    <t>T Lg U</t>
  </si>
  <si>
    <t>Acheta domesticus gregarine</t>
  </si>
  <si>
    <t>&gt;consensus_cl_id_3_total_supporting_reads_130</t>
  </si>
  <si>
    <t>ACCATACTCCCCCCAGGGCCCAGAGACTTAGATTTCTCTTGGAGTGCCGAAGGAGTCGTATTTGTACAGCCTCCGATCCTCAGTCGGCATAGTTTATAGTTGGGACTACGACGGTATCTAAGCGTCTTCGATCCCCCAACTTTCGTCCTTGATTAACAGGCACACACTGGGCAAATGCTTTCGCACTTGTTTGTCTTTGCTGGGTCTTAGAATTTCACCTCTCTCCAGCAAGTACAGATGCCCCCGTATGTCCTTATCAACCATTACTTGTGTTCCACGTCACCAACAAGGAGGATCACAGTCCTATATTGTTATTCCATGCTGAGCTGTTTAAGCTATAGCCTGGTTGGAGCACTCCAATTTGCTCAAAGTAACAGAGCGGTACAGCCGAAGCTATCCCACCCGAGTCCGAAACAGAAAGTGCACTGACTAACACGAAGTCAGACAGGCGTCTCTCCGATTTGGACGAAATCCAACTACGGACGCTTTAACTGCAGCAATTTTAATATACGCTATTGGAGCTGGAATTACCGAGGTGCTGAAGAAAGTTGTCGGTGTCTTTGTGTTAACCTTAGCAATACGTAACTTCTTTTTTTTTTTTTTTTTTTTTTTTTTTTTTTTTTTTTTTTTTTTTTAGGTGTGCTTCGTTC</t>
  </si>
  <si>
    <t>GAACGAAGCACACCTAAAAAAAAAAAAAAAAAAAAAAAAAAAAAAAAAAAAAAAAAAAAAAGAAGTTACGTATTGCTAAGGTTAACACAAAGACACCGACAACTTTCTTCAGCACCTCGGTAATTCCAGCTCCAATAGCGTATATTAAAATTGCTGCAGTTAAAGCGTCCGTAGTTGGATTTCGTCCAAATCGGAGAGACGCCTGTCTGACTTCGTGTTAGTCAGTGCACTTTCTGTTTCGGACTCGGGTGGGATAGCTTCGGCTGTACCGCTCTGTTACTTTGAGCAAATTGGAGTGCTCCAACCAGGCTATAGCTTAAACAGCTCAGCATGGAATAACAATATAGGACTGTGATCCTCCTTGTTGGTGACGTGGAACACAAGTAATGGTTGATAAGGACATACGGGGGCATCTGTACTTGCTGGAGAGAGGTGAAATTCTAAGACCCAGCAAAGACAAACAAGTGCGAAAGCATTTGCCCAGTGTGTGCCTGTTAATCAAGGACGAAAGTTGGGGGATCGAAGACGCTTAGATACCGTCGTAGTCCCAACTATAAACTATGCCGACTGAGGATCGGAGGCTGTACAAATACGACTCCTTCGGCACTCCAAGAGAAATCTAAGTCTCTGGGCCCTGGGGGGAGTATGGT</t>
  </si>
  <si>
    <t>T Lg G</t>
  </si>
  <si>
    <t>&gt;consensus_cl_id_10_total_supporting_reads_235</t>
  </si>
  <si>
    <t>CATCCTCTAGATGATAAGGCTCACAACATTTCCTCACGAAGAGCGATGTAGAACAAAGCAGCTACGTAAGTCCATGTAATTTGCCGGATCATCCAATCGGTTGAAGCGACGGGCGGTGTGTACAAAGGGCAGGGACGTAATCAGCACAAGGTGATGACTTGTCCTTACTAGGAATTCCTCGTTCATGACCCATAATTGCAAAGGTCAATCCCTATCACGACGGAGTTTCACAAGATTTCCCGCTTCGGACGAAGTAGGGTAGAGCTCGCTGACTCCGTCATTGTAGCGCACGTGCAGCCCAGACCATCTAAGGGAGGTGCTGAAGAAAGTTGTCGGTGTCTTTGTGTTAACCTTTAGCAATACGTAA</t>
  </si>
  <si>
    <t>TTACGTATTGCTAAAGGTTAACACAAAGACACCGACAACTTTCTTCAGCACCTCCCTTAGATGGTCTGGGCTGCACGTGCGCTACAATGACGGAGTCAGCGAGCTCTACCCTACTTCGTCCGAAGCGGGAAATCTTGTGAAACTCCGTCGTGATAGGGATTGACCTTTGCAATTATGGGTCATGAACGAGGAATTCCTAGTAAGGACAAGTCATCACCTTGTGCTGATTACGTCCCTGCCCTTTGTACACACCGCCCGTCGCTTCAACCGATTGGATGATCCGGCAAATTACATGGACTTACGTAGCTGCTTTGTTCTACATCGCTCTTCGTGAGGAAATGTTGTGAGCCTTATCATCTAGAGGATG</t>
  </si>
  <si>
    <t>T Lg 18S</t>
  </si>
  <si>
    <t>&gt;consensus_cl_id_35_total_supporting_reads_275</t>
  </si>
  <si>
    <t>AATTCCTCGTTGAAGAGCAAAAATTACAATGCTCTATCCCCAGCACGACGGAATTTCACAAGATTACCCAGACCTCTCGGCAAAGGTTACACTCGCTGGCTCCGTCAGTGTAGCGCGCGTGCGGCCCAGAACGTCTAAGGGCATCACAGACCTGTTATTGCCTCAAACTTCCGTCTACTTGAAATAGATAGTCCCTCTAAGAAGTGCTCTCCAGCAAACGCTAGCCGCACTATTTAGTAGGTTAAGGTCTCGTTCGTTATCGCAATTAAGCAGACAAATCACTCCACCAACTAAGAACGGCCATGCACCACCACCCACAAAATCAAGAAAGAGCTCTCAATCTGTCAATCCTTATTATGTCTGGACCTGGTGAGTTTCCCCGTGTTGAGTCAAATTAAGCCGCAGGCTCCACTCCTGGTGGTGCCCTTCCGTCAATTCCTTTAAGTTTCAGCCTTGCGACCATACTCCCCCAGAACCCAAAAACTTTGATTTCTCATAAGGTGCCGAGTGTGTCACTAAAAAAACAACACCCGATCCCTAGTCGGCATAGTTTATGGTTAAGACTACGACGGTATCTGATCGTCTTCGATCCCCTAACTTTCGTTCTTGATTAATGAAAACATCCTTGGCAAATGCTTTCGCAGTAGTTAGTCTTCAATAAATCCAAGAATTTCACCTCTGACAATTGAATACTGATGCCCCCGACCGTCCCTATTAATCATTACGATGGTCCTAGAAACCAACAAAATAGAACCAAACGTCCTATTCTATTATTCCATGCTAATATATTCGAGCAATACGCTTGCTTTGAACACTCTAATTTTTTCAAAGTAAAAATCCTGGACCCCCTACACCCACAAGGAGCATAGGTTCCCCAGAAGGAAAGGCACAGAGGGTCAGTTCTCGCAATAATCGGACCGGCCCTCCGTGCCCAAAGTTCAACTACGAGCTTTTTAACTGCAACAACTTTAATATACGCTATTGGAGCTGGAATTACCGAGGTGCTGAAGAAAGTTGTCGGTGTCTTTGTGTTAACCTTAGCAATACGTAACTAAAAAAAAAAAAAAAAAAAAAAAAAAAAAAAAAAATTGTGTTGTACTTCGTTC</t>
  </si>
  <si>
    <t>Tetrapisispora phaffii</t>
  </si>
  <si>
    <t>T Lg WL1</t>
  </si>
  <si>
    <t>&gt;consensus_cl_id_0_total_supporting_reads_279</t>
  </si>
  <si>
    <t>AAAAAGGGCAGGGACGTAATCAGCACAAGGTGATGACTTGTCCTTACTAGGAATTCCTCGTTCATGACCCATAATTGCAAAGGTCAATCCCTATCACGACGGAGTTTCACAAGATTTCCCGCTTCGGACGAAGTAGGGTAGAGCTCGCTGACTCCGTCATTGTAGCGCACGTGCAGCCCAGGCCATCTAAGGGCATCACAGACCTGTTATAGGCTCGAACTTCCTTGTGATAGTCTCACAAAGTCCCTCTAAGAAGCCAATCGCTTACAGAAGTAAACGAAGGCTAGTTAGTAGGTCGAGGTCTCGTCCGTTATCGGAATTAACCAGACAAGTCACCTCACCGACTAAGAACGGCCATGCACCACCACCCATAGAATCGAGAAAGAACTCTCAATCTGTCAATCATGACTATGTCCGGGCCTGGTGAGGTTCCCCGCGTTGAGTCAAATTAAGCCGCAGGCTCCACTCCTGGTGGTGCCCTTCCGTCAATTCCTTTAAGTTTCAGCCTTGCGACCATACTCCCCCCAGGGCCCAGAGACTTAGATTTCTCTTGGAGTGCCGAAGGAGTCGTATTTGTACAGCCTCCGATCCTCAGTCGGCATAGTTTATAGTTGGGACTACGACGGTATCTAAGCGTCTTCGATCCCCCAACTTTCGTCCTTGATTAACAGGCACACACTGGGCAAATGCTTTCGCACTTGTTTGTCTTTGCTGGGTCTTAGAATTTCACCTCTCTCCAGCAAGTACAGATGCCCCCGTATGTCCTTATCAACCATTACTTGTGTTCCACGTCACCAACAAGGAGGATCACAGTCCTATATTGTTATTCCATGCTGAGCTGTTTAAGCTATAGCCTGGTTGGAGCACTCAATTTGCTCAAAGTAACAGAGCGGTACAGCCGAAGCTATCCCACCCGAGTCCGAAACAGAAAGTGCACTGACTAACACGAAGTCAGACAGGCGTCTCTCCGATTTGGACGAAATCCAACTACGGACGCTTTAACTGCAGCAATTTTAATATACGCTATTGGAGCTGGAATTACCGCGGCTGCTGGCACCAGACTTGCCCTCCAATAGGTACTCGCAAATAGTTTTGCTTTCCGCTCATTGCAATCACAGAACCGAAAGGTCCTGAGTTGCTATTTCTGGTCACTACCTCCCCGTATCGGGATTGGGTAATTTGCGCGCCTGCTGCCATCCTTAGATGTGGTAGCCGTCTCTCAGGCTCCCTCTCCGGAATCGAACCCTAATTCCCCGTTACCCGTCACAGCCTCGGTAGGCCAATACCCTACCGACGGGAGCTGATAGGTCAGAAACTCGAACGAACTGTCGCTGAAAGCGATCCGCTCGGTCATTATGATCACCAAGAACAGGCCGAAGCCTGGATGGTTCCAATGCTAATGAATGCCACCGTTCTACGAAGTCCGGTGTTTTTGCATGTATTAGCTCCAGAATTACCATGGATATCCATTTGGTAATGATCTTCGTGTAGATTATAACTGTTGTAATGAGCTATTCGCAGTTTTGCCGTATAAAAAGCTTATACTTAGACTTGCATGGCTTAATCTTTGAAACAAGCATATGACTACTGGCAGGATCAACCAGGTAGCGCAGGTGCTGAAGAAAGTTGTCGGTGTCTTTGTGTTAACCTTAGCAATACGTAAACTACTTTCTGCCTTTG</t>
  </si>
  <si>
    <t>CAAAGGCAGAAAGTAGTTTACGTATTGCTAAGGTTAACACAAAGACACCGACAACTTTCTTCAGCACCTGCGCTACCTGGTTGATCCTGCCAGTAGTCATATGCTTGTTTCAAAGATTAAGCCATGCAAGTCTAAGTATAAGCTTTTTATACGGCAAAACTGCGAATAGCTCATTACAACAGTTATAATCTACACGAAGATCATTACCAAATGGATATCCATGGTAATTCTGGAGCTAATACATGCAAAAACACCGGACTTCGTAGAACGGTGGCATTCATTAGCATTGGAACCATCCAGGCTTCGGCCTGTTCTTGGTGATCATAATGACCGAGCGGATCGCTTTCAGCGACAGTTCGTTCGAGTTTCTGACCTATCAGCTCCCGTCGGTAGGGTATTGGCCTACCGAGGCTGTGACGGGTAACGGGGAATTAGGGTTCGATTCCGGAGAGGGAGCCTGAGAGACGGCTACCACATCTAAGGATGGCAGCAGGCGCGCAAATTACCCAATCCCGATACGGGGAGGTAGTGACCAGAAATAGCAACTCAGGACCTTTCGGTTCTGTGATTGCAATGAGCGGAAAGCAAAACTATTTGCGAGTACCTATTGGAGGGCAAGTCTGGTGCCAGCAGCCGCGGTAATTCCAGCTCCAATAGCGTATATTAAAATTGCTGCAGTTAAAGCGTCCGTAGTTGGATTTCGTCCAAATCGGAGAGACGCCTGTCTGACTTCGTGTTAGTCAGTGCACTTTCTGTTTCGGACTCGGGTGGGATAGCTTCGGCTGTACCGCTCTGTTACTTTGAGCAAATTGAGTGCTCCAACCAGGCTATAGCTTAAACAGCTCAGCATGGAATAACAATATAGGACTGTGATCCTCCTTGTTGGTGACGTGGAACACAAGTAATGGTTGATAAGGACATACGGGGGCATCTGTACTTGCTGGAGAGAGGTGAAATTCTAAGACCCAGCAAAGACAAACAAGTGCGAAAGCATTTGCCCAGTGTGTGCCTGTTAATCAAGGACGAAAGTTGGGGGATCGAAGACGCTTAGATACCGTCGTAGTCCCAACTATAAACTATGCCGACTGAGGATCGGAGGCTGTACAAATACGACTCCTTCGGCACTCCAAGAGAAATCTAAGTCTCTGGGCCCTGGGGGGAGTATGGTCGCAAGGCTGAAACTTAAAGGAATTGACGGAAGGGCACCACCAGGAGTGGAGCCTGCGGCTTAATTTGACTCAACGCGGGGAACCTCACCAGGCCCGGACATAGTCATGATTGACAGATTGAGAGTTCTTTCTCGATTCTATGGGTGGTGGTGCATGGCCGTTCTTAGTCGGTGAGGTGACTTGTCTGGTTAATTCCGATAACGGACGAGACCTCGACCTACTAACTAGCCTTCGTTTACTTCTGTAAGCGATTGGCTTCTTAGAGGGACTTTGTGAGACTATCACAAGGAAGTTCGAGCCTATAACAGGTCTGTGATGCCCTTAGATGGCCTGGGCTGCACGTGCGCTACAATGACGGAGTCAGCGAGCTCTACCCTACTTCGTCCGAAGCGGGAAATCTTGTGAAACTCCGTCGTGATAGGGATTGACCTTTGCAATTATGGGTCATGAACGAGGAATTCCTAGTAAGGACAAGTCATCACCTTGTGCTGATTACGTCCCTGCCCTTTTT</t>
  </si>
  <si>
    <t>Tm G</t>
  </si>
  <si>
    <t>Tenebrio molitor</t>
  </si>
  <si>
    <t>&gt;consensus_cl_id_17_total_supporting_reads_290</t>
  </si>
  <si>
    <t>AATCCTCTAAACAGTTAGGCTCACGTTGTTTCACAATAGACCGAAGTCTTTCGATCCACAAAATTCACCTAACCATCCAATCGGTTGAAGCGACGGGCGGTGTGTACAAAGGGCAGGGACGAAATCAACTCAAGATAATGACTTGCGCTTACTAGGAATTCCTCGTTTATGACGGACAATTACAACCGACAATCCCCACCTTAACACGCTTTGAAGATTCACAACATCGTTTCGATATTGGTACTCGTTGTGCATGTTATTGTAGCACACGTGCAGCCCAGACCATCTAAGGGAGGTGCTGGAGTCTTGTGTCCCAGTTACCAGGTTAACCTTAGCAATACGTAACTTTC</t>
  </si>
  <si>
    <t>GAAAGTTACGTATTGCTAAGGTTAACCTGGTAACTGGGACACAAGACTCCAGCACCTCCCTTAGATGGTCTGGGCTGCACGTGTGCTACAATAACATGCACAACGAGTACCAATATCGAAACGATGTTGTGAATCTTCAAAGCGTGTTAAGGTGGGGATTGTCGGTTGTAATTGTCCGTCATAAACGAGGAATTCCTAGTAAGCGCAAGTCATTATCTTGAGTTGATTTCGTCCCTGCCCTTTGTACACACCGCCCGTCGCTTCAACCGATTGGATGGTTAGGTGAATTTTGTGGATCGAAAGACTTCGGTCTATTGTGAAACAACGTGAGCCTAACTGTTTAGAGGATT</t>
  </si>
  <si>
    <t>Ga G</t>
  </si>
  <si>
    <t>&gt;consensus_cl_id_2087_total_supporting_reads_45</t>
  </si>
  <si>
    <t>ATCCTCTAGATGATAAGGCTCACAACATTTCCTCACGAAGTGCTATGTAGAACAAGGCGACTACGTAAGTCCATGTAATTTGCCGGATCATCCAATCGGTTGAAGCGACGGGCGGTGTGTACAAAGGGCAGGGACGTAATCAGCACAAGGTGATGACTTGTCCTTACTAGGAATTCCTCGTTCATGACCCATAATTGCAAAGGTCAATCCCTATCACGACGGAGTTTCACAAGATTTCCCGCTTCGTACGAAGTAGGGCAGAGCTCGCTGACTCCGTCATTGTAGCGCACGTGCAGCCCAGACCATCTAAGGGAGGTGCTGTTCAGGGAACAAACCAAGTTACGTTTAACCTTAG</t>
  </si>
  <si>
    <t>CTAAGGTTAAACGTAACTTGGTTTGTTCCCTGAACAGCACCTCCCTTAGATGGTCTGGGCTGCACGTGCGCTACAATGACGGAGTCAGCGAGCTCTGCCCTACTTCGTACGAAGCGGGAAATCTTGTGAAACTCCGTCGTGATAGGGATTGACCTTTGCAATTATGGGTCATGAACGAGGAATTCCTAGTAAGGACAAGTCATCACCTTGTGCTGATTACGTCCCTGCCCTTTGTACACACCGCCCGTCGCTTCAACCGATTGGATGATCCGGCAAATTACATGGACTTACGTAGTCGCCTTGTTCTACATAGCACTTCGTGAGGAAATGTTGTGAGCCTTATCATCTAGAGGAT</t>
  </si>
  <si>
    <t>Ad G</t>
  </si>
  <si>
    <t>Acheta domesticus</t>
  </si>
  <si>
    <t>&gt;consensus_cl_id_14_total_supporting_reads_284</t>
  </si>
  <si>
    <t>CATCCTCTAGATGATAAGGCTCACAACATTTCCTCACGAAGAGCGATGTAGAACAAAGCAGCTACGTAAGTCCATGTAATTTGCCGGATCATCCAATCGGTTGAAGCGACGGGCGGTGTGTACAAAGGGCAGGGACGTAATCAGCACAAGGTGATGACTTGTCCTTACTAGGAATTCCTCGTTCATGACCCATAATTGCAAAGGTCAATCCCTATCACGACGGAGTTTCACAAGATTTCCCGCTCCGTACGGAGTAGGGTAGAGCTCGCTGACTCCGTCATTGTAGCGCACGTGCAGCCCAGACCATCTAAGGGAGGTGCTGTTCGGATTCTATCGTGTTTCCCTATTAACCTTAGCAATACGTAACT</t>
  </si>
  <si>
    <t>AGTTACGTATTGCTAAGGTTAATAGGGAAACACGATAGAATCCGAACAGCACCTCCCTTAGATGGTCTGGGCTGCACGTGCGCTACAATGACGGAGTCAGCGAGCTCTACCCTACTCCGTACGGAGCGGGAAATCTTGTGAAACTCCGTCGTGATAGGGATTGACCTTTGCAATTATGGGTCATGAACGAGGAATTCCTAGTAAGGACAAGTCATCACCTTGTGCTGATTACGTCCCTGCCCTTTGTACACACCGCCCGTCGCTTCAACCGATTGGATGATCCGGCAAATTACATGGACTTACGTAGCTGCTTTGTTCTACATCGCTCTTCGTGAGGAAATGTTGTGAGCCTTATCATCTAGAGGATG</t>
  </si>
  <si>
    <t>Grand Total</t>
  </si>
  <si>
    <t>Nanopore Run</t>
  </si>
  <si>
    <t>Host pool</t>
  </si>
  <si>
    <t>Average barcode score</t>
  </si>
  <si>
    <t>Gryllus assimilis*</t>
  </si>
  <si>
    <t>Alphitobius diaperinus gregarine*</t>
  </si>
  <si>
    <t>Targeted group</t>
  </si>
  <si>
    <t>Primer Set</t>
  </si>
  <si>
    <t>Gregarine</t>
  </si>
  <si>
    <t>Kinetoplastea</t>
  </si>
  <si>
    <t xml:space="preserve">Primer reads </t>
  </si>
  <si>
    <t>Short</t>
  </si>
  <si>
    <t>Debaryomyces sp.</t>
  </si>
  <si>
    <t>&gt;consensus_cl_id_2_total_supporting_reads_3</t>
  </si>
  <si>
    <t>Row Labels</t>
  </si>
  <si>
    <t>ID_Seq</t>
  </si>
  <si>
    <t>Gregarina polymorpha</t>
  </si>
  <si>
    <t>Blabericola migrator</t>
  </si>
  <si>
    <t>Leidyana gryllorum</t>
  </si>
  <si>
    <t>Expected Taxon</t>
  </si>
  <si>
    <t>Non-metazoan microeukaryotes</t>
  </si>
  <si>
    <t>1-18S-GRF/1222-18S-GRR</t>
  </si>
  <si>
    <t>WL1/EukP3</t>
  </si>
  <si>
    <t xml:space="preserve">GregF/GregR </t>
  </si>
  <si>
    <t>GregR_RC/iLSUr</t>
  </si>
  <si>
    <t>AmoebozoaF/AmoebozoaR</t>
  </si>
  <si>
    <t>AmoebozoaR_RC/iLSUr</t>
  </si>
  <si>
    <t>Kineto14F/kineto2026R</t>
  </si>
  <si>
    <t>V1F/530R</t>
  </si>
  <si>
    <t>574*f/UNonMet_DB</t>
  </si>
  <si>
    <t>Nb of primer specific consensuses</t>
  </si>
  <si>
    <t xml:space="preserve">Leidyana sp.	</t>
  </si>
  <si>
    <t>PV174774.1</t>
  </si>
  <si>
    <t>&gt;consensus_cl_id_51_total_supporting_reads_73</t>
  </si>
  <si>
    <t>ACCACCATACTCCCCCGGAACCCAAAGACTTTGATTTCTCATAAGGTGCCGGCGGAGTCCTATAAGCAACATCCGCCGATCCCTGGTCGGCATCGTTTATGGTTGAGACTAGGACGGTATCTGATCGTCTTCGAGCCCCCAACTTTCGTTCTTGATTAATGAAAACATCCTTGGCAAATGCTTTCGCAGTTGTTCGTCTTTCATAAATCCAAGAATTTCACCTCTGACTATGAAATACGAATGCCCCCGACTGTCCCTATTAATCATTACTCCGATCCCGAAGGCCAACACAATAGGACCGGAATCCTATGATGTTATCCCATGCTAATGTATCCAGAGCGATGGCTTGCTTTGAGCACTCTAATTTCTTCAAAGTAACGATGCCGGAAGCACGACCCGGCCAATTAAGGCTAGGAGCGCATCGCCGGCTAAAGGGTCGAGTAGGTCGGTTCTCGCCGTGAGGCGGACCGGCCGACCCGGCCCAAAGTCCAACTACGAGCTTTTTAACTGCAACAACTTAAATATACGCTATTGGAGCTGGAATTACCGAGGTGCTGAAGAAAGTTGTCGGTGTCTTTGTGTTAACCTTAGCAATACGTAACTTTTTT</t>
  </si>
  <si>
    <t>Cooloola ziljan</t>
  </si>
  <si>
    <t>Orthoptera</t>
  </si>
  <si>
    <t>KM853290.1</t>
  </si>
  <si>
    <t>consensus_cl_id_5_total_supporting_reads_77</t>
  </si>
  <si>
    <t>Tetrapisispora sp.</t>
  </si>
  <si>
    <t>FJ153120.1</t>
  </si>
  <si>
    <t>Perc. ident.</t>
  </si>
  <si>
    <t>PV155238.1</t>
  </si>
  <si>
    <t>Lactiplantibacillus carotarum</t>
  </si>
  <si>
    <t>Top_Blast_NCBI_Acc</t>
  </si>
  <si>
    <t>Top_Blast_NCBI_taxon</t>
  </si>
  <si>
    <t>Blast_Upper_Taxon</t>
  </si>
  <si>
    <t>OX443576.1</t>
  </si>
  <si>
    <t>&gt;consensus_cl_id_7_total_supporting_reads_30</t>
  </si>
  <si>
    <t>CGTTGTGCCTCTTTTACAGCCATGAGATGTACAGGGGCTGTAGTCTCAAATCCAACGGCAAAAAATACAATCTCTTTATCTGGATTTTTCTCGGCCAGATTGACTGCATCTATTGTAGAATACATCATTCTTACGTCAGCACCTTGAGCTTTTACACTCAGCAGATCTTCTTTGCTTCCGGGTACACGCATCATATCTCCGAAAGATGTGAATATAACATCTGGCTGTTTCGCTATCTTTAGAGCTGTATCTATAATGTGAGTGGGAGTGACACATACGGGGCAGCCCAGACCATCTAAGGGAGGTGCTGAAGAAAGTTGTCGGTGTCTTTGTGTTAACCTTAGCAATACGTAACT</t>
  </si>
  <si>
    <t>Query cover perc.</t>
  </si>
  <si>
    <t>XR_002431954.1</t>
  </si>
  <si>
    <t>FJ459754.1</t>
  </si>
  <si>
    <t>FJ459748.1</t>
  </si>
  <si>
    <t>&gt;consensus_cl_id_2006_total_supporting_reads_45</t>
  </si>
  <si>
    <t>AAATTGTACTTCGTTCAGTTACGTATTGCTAAGGTTAAAAGGTTACACAAACCCTGGACAAGCAGCACCTCGTGTTACGACTTCTTCATCCTCTAGATGATAAGGCTCACAACATTTCCTCACGAAGTGCGATGTAAAACAAGGCGACTACGTAAGTCCATGTAATTTGCCGGATCATCCAATCGGTTGAAGCGACGGGCGGTGTGTACAAAGGGCAGGGACGTAATCAGCACAAGGTGATGACTTGTCCTTACTAGGAATTCCTCGTTCATGACCCATAATTGCAAAGGTCAATCCCTATCACGACGGAGTTTCACAAGATTTCCCGCTTCGTACGAAGTAGGGCAGAGCTCGCTGACTCCGTCATTGTAGCGCACGTGCAGCCCAGACCATCTAAGGGC</t>
  </si>
  <si>
    <t>&gt;consensus_cl_id_22_total_supporting_reads_51</t>
  </si>
  <si>
    <t>CCCTTCGTGGGAGTGGGAGAAAGTCGCCCACGTATTGCTAAGGTTAAAAGGTTACACAAACCCTGACAAGCAGCACCTCAGGGATTGCCTGCCTGACGTAGATGCTAGTCTCTAAGATTTAGCCATGCATGTTTAGTTTTTGTATTTATATACATATATATGTATATATAATAATACAATATACGACGAACGGCTCAGTAATGTTGCGATAATTTGCTCTATTTAACAAAATAACCACGGTAAGCTGTGGCTAATATGATAGAATAAGTCGCAACCCTATCAGCTAGTTGGTAGTGTAAAGGACTACCAAGGCTATGACGGGTAACGGGAAATTAGGGTTTTATTCCGGAGAGGGAGCCTGAGAGATGGCTCCCACGTCCAAGGACGGCAGCAGGCGCGAAAATTGTTCTACTCTTTTTATATGAGGAAACAGTTATGAGACGTATATATATTTATAATATGGTATATAAAAAATACTAATATTTATTGGAGGGCAAGTTTGGTGCCAGCAGCCGCGGAGGTGCTGCTTGTCCAGGGTTTGTGTAACCTTTTAACCTTAGCAATACGTAACTGAACGAAGTACAAT</t>
  </si>
  <si>
    <t>Microsporidium sp. JES2002I</t>
  </si>
  <si>
    <t>AJ438964.1</t>
  </si>
  <si>
    <t>MG663123.1</t>
  </si>
  <si>
    <t>Microsporidium sp. IVB</t>
  </si>
  <si>
    <t>MT949297.1</t>
  </si>
  <si>
    <t>&gt;consensus_cl_id_11_total_supporting_reads_133</t>
  </si>
  <si>
    <t>CCCAGTTACCGGTCTCACCTTCGGATCCTGTCTCCTTGCGGTTGACTTTAGACACTTCGGGTGCGACTGGCTTCCATGATGTGACGGGCGGTGTGTACAAGACCCGGGAACGTATTCACGGCACCAACTGCTGATGCGCCATTACTAGCGATTCCGGCTTCGTGTAGGCGAGTTGCAGCCTACAGTCCGAACTGAGGACACTTTTCAGGGATTTCCTCCACCTCGCGGTCTTGGTTCCCTCTGTTCTGCCCATTGTAGTACGTGTGCAGCCCAGACCATCTAAGGGAGGTGCTGTTCTCGCAAAGGCAGAAAGTAGTCTTAACCTTAGCAATACGTAACTGC</t>
  </si>
  <si>
    <t>AGGCCAAGATTACTTTCTGCCCAAACAGCACTACCAGGTTGATTCTGCCTGACGTGGATGCTAGTCTCACAGATTTAGCCATGCATGTGCAAGCGAAGCCAGTGGCGGAGCGGCGTACGGCTCAGTAAGGGGCGTCTTATTTGTTCTCCCGGGGCGGACAACCCCTGTAAGCGGGGGCCAAAACGCGAGCGGCGAGCCCTGCAGGGCGCGCAGCGAACGGCACTTGTGCCGTGCGGGAGAGTAAGGAGCCATCCCATCAGCTAGTAAGTAGGGTAAGGGCCTACTTAGGCGAAGACGGGTACGGGGGATCGGGGTCCGATTCCGGAGAGGGAGCCTGAGAGACGGCTACCAGGTCCAAGGACAGCAGCAGGCGCGCAACTTACCGAAGCGCGCATTCGCGGCGGTAGTGATGAGACGTGGATACGATGTGCGGGCAGAGAGCGCACTGGTAACAGGAGGTCAAGACTGGTGCCAGCAGCCGCGGAGGTGCTGTTCTCGCAAAGGCAGAAAGTAGTCTTAACCTTAGCAATACGTAACTGAACGAAGTACATACT</t>
  </si>
  <si>
    <t>&gt;consensus_cl_id_51_total_supporting_reads_81</t>
  </si>
  <si>
    <t>Uncultured Verrucomicrobia</t>
  </si>
  <si>
    <t>KF318250.1</t>
  </si>
  <si>
    <t>Monastria sp.</t>
  </si>
  <si>
    <t>KF372503.1</t>
  </si>
  <si>
    <t>Blattodea</t>
  </si>
  <si>
    <t>&gt;consensus_cl_id_2_total_supporting_reads_2</t>
  </si>
  <si>
    <t>AGCGTATCTTAAAGTTGTTGCAGTTAAAAAGCTCGTAGTTGAACTTTGGGTCTGGAGGGTCGGTCCGCTTTTATGCGAGTACTGGACCTCCGGGCCTTTCCTTCTGGGCTAGCCCTGGTGGGCGGTCCAGGACTTTTACTTTGAAAAATTAGGAGTGTTCAAAGCAGGCGTATTGCTCGAATATATTAGTATGGAACAATAGAATAGGACGTTTGGTTCTATTTTGTTGGTTCTTAGGACCATCGCAATGATTAATAGGACGGTCGGGGGCATCAGTATTCAGTTGTCAGAGGTGAAATTCTGGATTTATTGAAGACTCAACTACTGCGAAAGCATTTGCCAAGGACGTTTTCATTAATCAAGAACGAAAGTTAGGGGATCGAAGATGATCAGATACCGTCGTAGTCTTAACCGTAAACTATGCCGACTAGGGATCGGGTGGGTTTTTAGTGACTCATCTCGGCACCTTACGAGAAATCAAAGTCTTTTGGGTTCTGGGGGGAGTATGGTCGCAGGCTGAAACCCAAAGGAATTGACGGAAGGGCACCAACTGGAGTGGAGCCTGCGGCTTAATTTGACTCAACACGGGGAAACCTCACCAGGTCCAGACACAATAAGGATTGACAGATTGAGAGCTCTTTCTTGATTTTGTGGGTGGTGGTGCATGGCCGTTCTTAGTTGGTGGAGTGATTTGTCTGCTTAATTGCGATAACGAACGAGACCTAACCTACTAACTAGGGCGGCGCTTGCGGGGGAGCACTTTCAGAGGGACCATCGGTTTCAAGTCGATGGAAGTTTCGAGGCAATAACAGGTCTTGATGCCCTTAGACGTTCTGGGCCGCACGCGCGCCACTGACGGAGCCAGCGAGTGTAACCTTTGCCGAGAGGTTTGGGTAATCTTGTTAAACTCCGTCGCTGGGGGATAGAGCATTGTAATTTTTGCTCTTCAACGAGGAATTCCTAGTAAGCGCAAGTCAAGAGGTCTGGCCAGGGTTTGTGTGGCCTTTCACCTCGGCCAGGCGTCCCAAGGGCCTCGTCCACAGTTGGGCCTTTTCCGACGTGGGTGAGTGATTCTCCCACTGCCACGAAGAAGTCGTAACACGAGGTGCTGCTGTCCAGGGTTTGTGTAACCTTTTAACCTTAGCAATACGTAACTGAAC</t>
  </si>
  <si>
    <t>ATTCCTCGTTTATGACGGACAATTACAACCGACAATCCCCACCTTACACGTTCGAGATTACCAACGTCGTTTCGATGTTGGTACTCGTGTGTGCATGTTATTGTAGCACACGTACAGCCCATCCTCCTAAGACCTGGCTGCTGCCACCAGTCTTGACCTCCTGTTACCAGTGCGCTCTCTGCCGCACTCTTGTCCACGTCTCATCACTACCGCCGCGGGTGCGCGCTTCGGTGGTTGCGCGCCTGCTGCAGTCTTGGACCTAGTAGCCGTCTCTCAGGCTCCCTCTCCGGAATCGGACCCCGATCCCCCGTCCCGTCTTCGCCTAAGTAGGCCTTACCCTGCCACTAGCTGATGGGATGGCTCCTTACTCTCCCGCACGGCACAAGTGCCGTTCGCTGCGCGCCCTGCAGGGCTCGCCGCTCGCGTTTTGGCCCCACTTTGGGGACATCCGCCCCCGGGAGAACAAATAGAACGCCCCTTACTGAGCCGTACGCCGCTCCGCCACTGGCTTCGCTTGCACATGCATGGCTAAATCTGAGACTAGCATCCACGTCAGTAGAATCAATCTGGTGCCGGGCCTGGAAACTTGCCCTCAATAAATATTAGTATTTTTTTTATATACCATATTATAAATATATATACGTCTCATAACTGTTTCCCTCATATAAAGAGTAGAACAATTTTCGCGCCTGCTGCCGTCCTTGGACGTGGGAGCCATCTCTCAGGCTCCCTCTCCGGAATAAAACCTAATTTCCCGTTACCCGTCATAGCCTTGGTAGTCCTTTACACTACCAACTAGCTGATAGGGTTGCGACTTATTCTATCATATTAGCCACAGCTTACCGTGGTTATTTTGTTAAATAGAGCAAATTATCGCAACATTACTGAGCCGTTCGTCGTATATTGTATTATTATATATACATATATATGTATATAAATACAAAAACTAAACATGCATGGCTAAATCTTAGAGACTAGCATCTACGTCAGGCAGAATCAACCTGGTGAGGTGCTGCTTGTCCAGGGTTTGGTAAACACTTTTAACCTTAGCAATACGTAACT</t>
  </si>
  <si>
    <t>AB027755.1</t>
  </si>
  <si>
    <t>&gt;consensus_cl_id_12_total_supporting_reads_105</t>
  </si>
  <si>
    <t>CCCAATACTGGTAGCAGCACGCGTGAAGGCAACACCTTCGATTGCTTGATTCTTTCGTGTTTAAGTTCCGTCCTTAACCATCCCCACATAATCGGTTTTTGCCGACGGGGAGGCTTTTCACACCCTGCGCGGATCTGACACCGAAGGATCCAGAAGTGAACTATGGTGTAGGATGTCTTACCTTTTGATAAAGCTCTCGGAAACTCGTGAGCGTCAACGGCTGCGCAACGACAGCAGCACTCGGATGGAGAGGTAGTACACCAACTCCACCAGGGTGAGCACGGAGCAGCCCAGACCATCTAAGGGAGGTGCTGCTTGTCCAGGGTTTGTGTAACCTTTTAACCTTAGCAATACGTAACTA</t>
  </si>
  <si>
    <t>Protoparvovirus sp.</t>
  </si>
  <si>
    <t>PV137624.1</t>
  </si>
  <si>
    <t>Virus</t>
  </si>
  <si>
    <t>&gt;consensus_cl_id_187_total_supporting_reads_37</t>
  </si>
  <si>
    <t>AATTCCTCGTTCATGGGGAACAATTGCAAGCCCCAATCCCTAGCACGAAGGAGGTTCAGCGGGTTACCCGGGCCGCTCGGCCAGGGAGGACACGCTGATTCCTTCAGTGTAGCGCGCGTGCGGCCCAGAACATCTAAGGGCATCACAGACCTGTTATTGCTCAATCTCGTGCGGCTAGAAGCCGCCTGTCCCTCTAAGAAGAATTGTTTGTACGCCGACAGTAAAAACCGCGCACGGTCACCGAGCGAACCCGGGACCAGCGGGCCTTTGGGATGTCGAAATACGCCTATTTAGCAGGCTAGAGTCTCGTTCGTTATCGGAATTAACCAGACAAATCGCTCCACCAACTAAGAACGGCCATGCACCACCACCCACCGAATCAAGAAAGAGCTCTCAATCTGTCAATCCTTCCGGTGTCCGGGCCTGGTGAGGTTTCCCGTGTTGAGTCAAATTAAGCCGCAGGCTCCACTCCTGGTGGTGCCCTTCCGTCAATTCCTTTAAGTTTCAGCTTTGCAACCATACTTCCCCCGGAACCCAAAAGCTTTGGTTTCCCGGAAGCTGCCCGCCGAGTCATCGGAGGAACGTCGGCGGATCGCTAGCTGGCATCGTTTATGGTTAGAACTAGGGCGGTATCTGATCGCCTTCGAACCTCTAACTTTCGTTCTTGATCAATGAAAGCGTTTTTGGCAAATGCTTTCGCTTCTGTCCGTCTTGCGACGATCCAAGAATTTCACCTCTAACGTCGCAATACGAATGCCCCCATCCGTTCCTATTAATCATTACCTCGGGGTTCCGAAAACCAACAAAATAGAACCGAGGTCCTATTCCATTATTCCATGCACACAGTATTCAGGCGAAGTTTTAGCCTGCTTTAAGCACTCTAATTTGTTCAAAGTAAACGTGCCGGCCCACCTCGACACTCAACGAAGAGCACCGCGGCGGGATTGAGTTGGGCCGCCCTCACGAGCTAAGCCCACCGGCAGGACGTCCCGCGGCACGCCAGTTAACACCGCGAACGATGAACCGGCGGCGCGGGACACAGATTCGACTACGAGCTTTTTAACCGCAACAACTTTAATATACGCTATTGGAGCTGGAATTACCGAGGTGCTGGTGTTACCGTGGGAATGAATCCTTTTAACCTTAGCAATACGTAACTGAACGAAGT</t>
  </si>
  <si>
    <t>&gt;consensus_cl_id_241_total_supporting_reads_88</t>
  </si>
  <si>
    <t>AATTCCTCGTTGAAGAGCAAAAATTACAATGCTCTATCCCCAGCACGACTGGAGTTTCACAAGATTTCCCGGACCTCTCGGCCAAGGCAAGACTCGCTGGCTCCGTCAGTGTAGCGCGCGTGCGGCCCAGAACGTCTAAGGGCATCACAGACCTGTTATTGCCTCAAACTTCCATCGACTTGACATCGATAGTCCCTCTAAGAAGCCAGCAAAAGCAGCTGCTACTGCCTATTTAGCAGGTTAAGGTCTCGTTCGTTATCGCAATTAAGCAGACAAATCACTCCACCAACTAAGAACGGCCATGCACCACCACCCACAAAATCAAGAAAGAGCTCTCAATCTGTCAATCCTTATTGTGTCTGGACCTGGTGAGTTTCCCCGTGTTGAGTCAAATTAAGCCGCAGGCTCCACTCCTGGTGGTGCCCTTCCGTCAATTCCTTTAAGTTTCAGCCTTGCGACCATACTCCCCCAGAACCCAAAAACTTTGATTTCTCGTAAGGTGCCGAGCGCGTCAAATTGAACACGCCCGATCCCTAGTCGGCATAGTTTATGGTTAAGACTACGACGGTATCTGATCATCTTCGATCCCCTAACTTTCGTTCTTGATTAATGAAAACGTCCTTGGCAAATGCTTTCGCAGTAGTTAGTCTTCAGTAAATCCAAGAATTTCACCTCTGACAACTGAATACTGATGCCCCCGACCGTCCCTATTAATCATTACAATGGTCCTGAAAACCAACAAAATAGAACCATTGTCCTATTCTATTATTCCATGCTAATATATTCGAGCAAAGGCCTGCTTTGAACACTCTAATTTTTTCAAAGTAAACGTCCTGGTTCGCCAAACCAGAGAGGAAAGGCCCGTGCCGGTCAGTACGCACCGAAAGCGGACCGGCCAGCCACACCCAAGTTCAACTACGAGCTTTTTAACTGCAACAATTTTAATATACGCTTTTGGAGCTGGAATTACCGAGGTGCTGGTGTTACCGTGGGAATGAATCCTTTTAACCTTAGCAATACGTAACTTGGTATACTTCCCGGTTC</t>
  </si>
  <si>
    <t>&gt;consensus_cl_id_44_total_supporting_reads_53</t>
  </si>
  <si>
    <t>AAGCGTATATTAAAGTTGTTGCGGTTAAAAAGCTCGTAGTCGAATCTGTGTCCCGCGCCGCCGGTTCATCGTTCGCGGTGTTAACTGGCGTGCCGCGGGACGTCCTGCCGGTGGGCTTAGCTCGTGAGGGCGGCCCAACTCAATCCCGCCGCGGTGCTCTTCGTTGAGTGTCGAGGTGGGCCGGCACGTTTACTTTGAACAAATTAGAGTGCTTAAAGCAGGCTAAAACTTCGCCTGAATACTGTGTGCATGGAATAATGGAATAGGACCTCGGTTCTATTTTGTTGGTTTTCGGAACCCCGAGGTAATGATTAATAGGAACGGATGGGGGCATTCGTATTGCGACGTTAGAGGTGAAATTCTTGGATCGTCGCAAGACGGACAGAAGCGAAAGCATTTGCCAAAAACGCTTTCATTGATCAAGAACGAAAGTTAGAGGTTCGAAGGCGATCAGATACCGCCCTAGTTCTAACCATAAACGATGCCAGCTAGCGATCCGCCGACGTTCCTCCGATGACTCGGCGGGCAGCTTCCGGGAAACCAAAGCTTTTGGGTTCCGGGGGAAGTATGGTTGCAAAGCTGAAACTTAAAGGAATTGACGGAAGGGCACCACCAGGAGTGGAGCCTGCGGCTTAATTTGACTCAACACGGGAAACCTCACCAGGCCCGGACACCGGAAGGATTGACAGATTGAGAGCTCTTTCTTGATTCGGTGGGTGGTGGTGCATGGCCGTTCTTAGTTGGTGGAGCGATTTGTCTGGTTAATTCCGATAACGAACGAGACTCTAGCCTGCTAAATAGGCGTATTTCGACATCCCAAAGGCCCGCTGGTCCCGGGTTCGCTCGGTGACCGTGCGCGGTTTTTACTGTCGGCGTACAAACAATTCTTCTTAGAGGGACAGGCGGCTTCTAGCCGCACGAGATTGAGCAATAACAGGTCTGTGATGCCCTTAGATGTTCTGGGCCGCACGCGCGCTACACTGAAGGAATCAGCGTGTCCTCCCTGGCCGAGCGGCCCGGGTAACCCGCTGAACCTCCTTCGTGCTAGGGATTGGGGCTTGCAATTGTTCCCCATGAACGAGGAATTCCTAGTAAGCGCAAGTCAAGGTGCTGGTGTTACCGTGGGAATGAATCCTTTTAACCTTAGCAATACGTAACTGAACGAAGTACA</t>
  </si>
  <si>
    <t>Promethis punctulator</t>
  </si>
  <si>
    <t>KX461831.1</t>
  </si>
  <si>
    <t>Coleoptera</t>
  </si>
  <si>
    <t>AB158656.1</t>
  </si>
  <si>
    <t>Hyphopichia khmerensis</t>
  </si>
  <si>
    <t>AB158654.1</t>
  </si>
  <si>
    <t>&gt;consensus_cl_id_119_total_supporting_reads_31</t>
  </si>
  <si>
    <t>CGGGAGTTAGCCGGTGCTTCTTCTGTCGGTAACGTCAATTGATAAGGTTATTAACCTTACCACCTTCCTCCCGACTGAAAGTACTTTACAACCCGAAGGCCTTCTTCACACACGCGGCATGGCTGCATCAGGCTTGCGCCCATTGTGCAATATTCCCCACTGCTGCCTCCCGTAGGAGTCTGGGCCGTGTCTCAGTCCCAGTGTGGCTGATCATCCTCTCAGACCAGCTAGGGATCGTCGCCTAGGTGAGCCGTTACCTCACCTACTAGCTAATCCCATATGGGTTCATCTGATGGCGAGAGGCCCGAAGGTCCCCGCTTTGGTCCGGAGACATTATGCGGTATTAGCTACCGTTTCCAGTAGTTATCCCCCGCCATCAGGCAGAATCAACCTGGTGAGGTGCTGGTGTTACCGTGGGAATGAATCCTTTTAACCTTAGCAATACGTAACT</t>
  </si>
  <si>
    <t>Escherichia coli</t>
  </si>
  <si>
    <t>MH197073.1</t>
  </si>
  <si>
    <t>KJ736741.1</t>
  </si>
  <si>
    <t>&gt;consensus_cl_id_1_total_supporting_reads_1</t>
  </si>
  <si>
    <t>AAAGGCAGGGACGTAATCAACGCGAGCTTATGACTCGCGCTTACTGGGAATTCCTCGTTCATGGGGAACAAGCCCCAATCCCTAGCACGAAGGAGGTTCAGCGGGTTACCCGGGCCGCTCGGCCAGGGCCCTTCCTTCAGTGTAGCGCGCGTGCGGCCCAGAACATCTAAAGAACTTCTACAGACCTGTTATTTCGAGCGAACCCGCGGCCAGCGGGCCTTTGGGATCGAAATACGCCTATTTAGCAGGCTAGAGTCTCGTTCGTTATCGGAATTAGCCAGACAAATCGCTCCACCAACTAAGAACGGCATGCACCACCCACCGGAGAAAGAGCTCTCAAATCTGTCAATCCTTCCGGTGTCCGGGCCTGGTGAGGTTTCCGTGTTGAGTCAAATTAAGCCGCGAGCCCACTCCTGGTGGTGCCCTTCCGTCAATTCCTTTGGGTTTCCAGCTTTGCAACCATACTTCCCCCGGAACCCAAGAAGCGGTTTCCCGGAAGCTGCCCGCCGAGTCGGAGGAACGTCGGCGGATCGCTAGCTGGCATCGTTTATGGTTAGAATTAGGGCGGAAATCTGATCGCCTTCGAACCTCTAACTTTCGTTCTTGATCAATGAAAGCGTTTTTGGCAAATGCTTTCGCTTCTGTCCGTCTTGCGACGATCCATTCTCTAACGTCGCAATACGAATGCCCCCATCCGTTCTATTAATCGACTACCTCGGGGTTCCGAAAACCAACAAAATAGAACCGAGGTCCTATTCCATTATTCCATGCACACAGTATTCAGGCGAAGTTTTAGCCTGCTTTAAGCACTCTAACTGTTCAAAGTAAACGTGCCGGCCCACACTGACACTCAACGAAGAGCACCGCGGCGGGATTGAGTTGGGCCGCCCTCACAGGCGAAAACCCACCGGCAGGACGTCCCGCGGCACGCCAGTTAACACCGCGAACGATGAACCGGCGGCGGCGCGGGACACAGATTCGACTACGAGCTTTTTAACCGCAACAACTTTAATATACGCTATTGGAGCTGGAATTACCGCGGCTGCTGGCACCAGACTTGCCCTCAATTGATCCTCGTTAAAGGGTTTAGAGTGTACTCTCATTCCGATTACGGGGCCTCGGATGAGTCCCGTATCGTTATTTTTCGTCACTACCTCCCGTGCCGGGAGTGGGTAATTTGCGCCTGCTGCCTTCCTTGGATGTGGTAGCCGTTTCTCAGGCTCCCTCTCCGGAATCGAACCCTGATTCCCCGTTACCCGTTACAACCATGGTAGGCGCAGAACCTACCATCGACGGATTGATAAGGCAGACATTTGAAAGATGCGTCGCCGGTGCCGTGCGATCAGCGTAAAGTTATTCAGAGTCACCAAGTTGTACGATGACGGAGACCGCCACCGTTTTGATCTAATAAAAGCGCTCCTTCCGTTTCCGGTTGGAGCTCTGTTTGCATGTATTAGCTCTAGAATTACCACAGTTATCCAAGTAAATGTGGAGCTAAGGAACCATAACTGATTTAATGAGCCTTTCGCGGTTTCACCTTGAATTCGGCTTGTACTGGTATGCATGGCTTAATCTTGAGACAAGCAT</t>
  </si>
  <si>
    <t>Probaticus sp.</t>
  </si>
  <si>
    <t>JN619097.1</t>
  </si>
  <si>
    <t>&gt;consensus_cl_id_2_total_supporting_reads_1</t>
  </si>
  <si>
    <t>AAAGGGCAGGGACGCAATCAGCACAGTACCAATTATGTACTAGGAATTCCTCGTTCATGAGCCAAAATTACAAAACTCAATCCCTAACACGACACTATTTTCGTGATTTCACATTTCTTTCGAAATGTAAGGCTGTTGCTAGAGTCATTCTTGGCACACGTGCAGCCCAGACAAAAATCACAGGGCCCTTAGATGGTCTACCTGCCACCTGACCCTTACCGTACCACCTACCTACTCTGCAAAAAAAAAAAAAAAAAAAAAAAATACCTGCCACCTGCCTGCGTACCGCAGGCCTGCCAGTAAAAGTAGTCATGGTTCGTATCGAAACATCTCCCGAAGACAGCCGGTATGGCTGTAGCCGAAGGTATCCTGACTGCACGCGGAGGTATGACTTCACACGCTGCCGTTGTTGCCGTGGTATGGGCCTGATATTTGTGTATCCGGTGCCGGCATTGAATATCGACTATAAAAACGCACGGTTGAAGTAGGTGGTAAGTATTTAATGAAGGAGATTTCCTTTCTATCAGCAGTACTACCGGCGAAATATATGAAGGTAAAGTAGAAACACAGGCTGCCGAACTCGATGCGGACTTCCTTGATCTGATGGAACTGGCTGATAAATATGCCCGTCTGCAGGTACGCACCAATGCCGATACTCCTCACGACGCAACCGTTGCCCGTAAATTCGGTGCTTCCGGTATCGGACTTTGTCGTACGGAACACATGTTCTTCGAAGGCGACAAAATCAAAGCGATGCGTGAAATGATTCTGGCGGAAGATGCCGAAGGACGTAAAAAAGCATTGGAAAAAATCCTGCCTTATCCCAGCAGGAAGACCTAAAGGTATCTTTACAGCGATGAAGGTTGCCCGGTAACGTTCATCCTGCTCGATCTCCTTTGCACAATTCGTTCCTCACGATAATAAAGGACAACAGGAAATGGCCGGCGCAATGGGTCTGCAGTAGAAGTAATCCCGTCAGCGTGTAGCCCTTTGCGAACACAACCCGATGTTAGGTCACCGTGGTTGCCGTTTAGGGAAACCTGCTCCTGAAATTACCGAAATGCAGACACGTGCTATCTTAGGTGCTGCATCCACGAACTGAAAAAAAGAGGGTATTACCTTTCAATTCTGAAATCATGGTTCCGCTTACAGGTATCCTGTATGAATTCCTTGAACAGGAAAAGATCATCCGTGCAACAGCGAAACAACTGTTTGAAGAAGTAGGTGATGAGATCGATTAAAAGTACAAAGGAACTATGATCGAGATTCCACGTGCCGCATTAACTGCCGACCGTATCGCAACCTCTGCTGAGTTCTTCTCCTTCGGAACAAACGACCTCACACAGATGACATTCGGTTATTCCCGTGATGATATCTCCCTCACCCTGCCGATCTACCTCGACAAAGAAGATCCTTAAATACGATCCATTCCAGGTATTAGACCAGAATGGTGTGGGACCCGTTCGTTCATCGCGGCTACTGAAAAAGGCCGCGCCGTACGTCCGGATCTGAAATGTGGTATTTGCGGTGAGCATGGTGGTGAGCCTTCATCCGTTAAATTCTGCCACCGTGTAGGATTAAACTACGTATCCTGTTCCTCCGTTCCGTGTGCCTATTGCACGGATTGCCGCAGC</t>
  </si>
  <si>
    <t>AP031410.1</t>
  </si>
  <si>
    <t>Parabacteroides goldsteinii</t>
  </si>
  <si>
    <t>&gt;consensus_cl_id_3_total_supporting_reads_1</t>
  </si>
  <si>
    <t>AGTCGCGACCTGATCAATATTGTGCTGCGGAACTGTCTGCATAGACAACATTGTGCTTGACACTGGCATTTGTCGATTGACCTGCGAATCACTGTCTGGCAGGATCAACCAGGTAGCGCCCGCGGCTTGCTGGCACCCTTGTTCACCCATTGGCTTATTGAGGCAATTAACACGCTCGTAGGCTTGGAGTTAAAGGCTTGGAGATTTAGTAAACGCGTGCATACGCGAGCTTCTGGGACAAGAAAGTAAAATTTCCATTCTCATAACTCCAAAACTTCATCATTACATCCAGCGCCAATTCCACCGTGGTGTCACCACCGCTAACACTTCCCGATCGCCATCCTTACTGAACCCAACCACCGCCTCAGCCATCCCCTCGCCCCGCGGGCTGTTCGTGCCGTGTATGTTTTTGCGGCGCGCTTGCCCCTCGCGGCAACCACCCTGCAGTTCCTCGATTCCTTGTTACCGTTCTTGCTGATGTGATAATCATCGCCCGCAGGTCGTTGCCCCGAGGGCCCTGGGCGCTCGCCCATTGTCTCACGCGCGCCAGACGCGGCCTTGCGACGCAGTCACCCCCTCCCCCCCCCCAAAAAAAAGAAAATTCCGATAAATTTAAAATTTTGTCAATGAAGAAGAAGAAGAAAAAGGATCGGCGGGAGGCGAAGAAGTGCTGCGGGGCGCGAGCACGCTTCCCTTTGTGTGCCCTGCGGCGCCAGCAAGCCGATCGTGCCAGCCGCCGCGGCCGCGCTGCTGGCGCAGGTTAACCAGTGCTTCTTCTGTCGGTAACGTCAGTGGGCAAGGTTGTCTTCACCACCTTCCTCCCAGCTGAAAGTACTTTACAACCCGAAGGCCTTCTTCATACACGCGGCATGGCTGCATCAGGCTTGCGCCCAATACGCTTTTAATGTCCCCACGCGCACTCCCGTAGGAGTCTGGGCCGTGTCTCAGTCCCAGTGTGGCTGATCATCCTCTCAGACCAGCTAGGGATCGTCATAGGTGAGCCGTTACCTCACCTACAAGCTAATCCATGAGTTCATCTGATGGCGCGAGGCCCGAAGGTCCCCGCTTTGGTCCCGGAGACATTATGCGGTATTAGCTACCGTTTCCAGTAGTTATCCCCCTCATCAGCGGCGAATCAACCTGGTGCGCACGGCTGCTGAGCGCAGTCTGACCTCCTGTTACCAGTGCGGCTCTCCTGCCCGCACATCGTATCCACGTCATCACTACCGCCGCGAATGCGCGCTTCGGTAAGTTGCGCGCCTGCTGCTGTCCTTGAGCCTGGTAGCCCGTCTCACCGGGCTCCCTCTCCGGAATCGGACCCCGATCCCCCGTACCCGTCTTCGCCTAAGTAGGCCCTTACCCTACTTACTGCTGATGGGATGGCTCCGCCTCTCCGCACGGCACCGAGTGCGGGTCGCTGCCGCCCTGCAGGGCTCGCCGCTCGCGTTTTGGCCCCCGCTTGGGGGTGCCGTCCCGCCCCGGGAGAACAAATAAGACGCCCCTTACTGAGCCGCTGCGCCTCCACCACTGGCTTCGCTTGCACATGTGGCCTGTTAATCATGAGACCGCGTCCGCGTCAGGCAGGAATCAACCTGGTGAGGTGCTGGTGTTACCGTGGGAATGAATCC</t>
  </si>
  <si>
    <t>&gt;consensus_cl_id_5_total_supporting_reads_1</t>
  </si>
  <si>
    <t>AAAGGGCAGGGACGCAATCAGCACAGTATTATGAACTATACTTACTAGAATTCCTCGTTCATGAGCCAAAATTACAAAACTCAATCTAACACGACACTATTTTCGTGATTTCACATTCTTTCAGAATGTAAGGCTTGTTGCTAGAGTCATTGTAGCACACGTGCAGCCCAGATCATCTAAGGGCACCAGGTTGATTCTGCTGACGTGGATGCTAGTCTCTGGATTTAGCCATGCATGTACAAGCGAAGCCAGTGGGCGGAGCGGCGTGCAGCTTTCAGTAAGGGGCGTCTTATTTGTTCTCCCGGGGCGGACAACCCCTGTAAGCGGGGGCCAAAACGCGAGCGGCGAGCCCTGCAGGGCGCGCAGCAGGCGGCACTTGTGCCGTGCGGGAGTAAGGAGCCATCCCCATCAGCTAGTAAGTAGGGTAAGGGCCTACTTAGGCGAAGACAGGTACGGGGGATCCGGGGTCCGATTCCGGAGAGGGAGCCTGAGAGACGGCTACCAGGTCCAAGGACAGCAGCAGGCGCGCAACTTGCCCGAAGCGCGCATTCGCGGCGGTAGTGATGGAACGTGGATACGATGTGCGGGCAGAGCGCACTGGTAACGGGAGGTCAAGACTGGTGCCAGCAGCCGCGGCTAGATGGTCTGGGCTGCGTTCGGAGACTGTCCCGGAGGCGGCAGACGGACCTCCGGGGCTCCTTTTTTTTGCGGTCGTTTCTATAGCGGAGTCCGCCCCCGCTAATCAAACATTGTATTAATGATCCTTCGAAGGTTCACCTACGGAAACCTTGTTACGACTTTTACTTCCTCTAAATATTCAAGTTCGGTCATCTTTCCGGCTCTACGGCCCCTGAAAAGGGTCCGCGGGCTGGTCCGAAGACCTCACTAAAATATTTAGAGGAAGTAAAAGTCGTAACAAGGTTTCCGGCGGGTGGGCCTTCGGAAGGATCATTATTACAATGTTTGTTGGCTCCTCGCAGAAGGCGACCGCAGAGGCCCCGGAGTCCGTCTGCCGCCTCCGGGACGGTCCGGGCAGCCCAGACCGTCCCCAGGGCCGCGGCTGCTGGCACCGGTCTTGACCTTCCTGATACAGTGCGCTCTCTGCGTGTCCGCGTGCGCCATCACTACCGCCGCGGTGCGCGCTCTGCTGGTAGCCGCCGGCTCCGGAGATCGGACCCCGACTCGCGCGCCTCTTGCGGGCTGATGGGATGGCTCCTGCCGCCCGCGCGGCACCGTGCAGGCCCGCCGCGCCCTGCAGGGCTCTGCAGCAGCGCGGCCGGCCGCTCGCAGCCGCTGGCGCTTCACTACGCATGCATGGCCCCTATCTGTGAGACCGTCTTCTTACACGTGGTCTTACAATGACTCCCAGCAGCAAGCCACATTCGAAATGTGAAGTCGAAATGTCGTCGTGTTAGTTGAGTTTTGTGTGCTGGCTCATGGGGAATTCTAGTAAGTATAGTTCGTAATGCGCTTGTGCTGATTGCGTCACACCTTGTAACACACACCGCCCTCCGACGGATGTTGTGAAATGGAAGCGGAGATAAGCTTGTCGTCAGAGGATGAAGTCGGCACGAGTGATGA</t>
  </si>
  <si>
    <t>&gt;consensus_cl_id_10_total_supporting_reads_197</t>
  </si>
  <si>
    <t>GTGTACCCAGTTACCAGTCTCACCTTAGGACCATGCCTCATTGCTGTTAGCTCTGATACTTCGGGTGCGACCGGCTTCCATGATGTGACGGGCGGTGTGTACAAGACCCGGGAACGTATTCACGGCGCCGTAGCTGATGCGCCATTACTAGCGATTCCGGCTTCATGTAGGCGAGTTGCAGCCTACAATCCGAACTGGGCCCAGTTTTCAGGTTTTGCTCCACCTCGCGGTCTCGCTTCCCTCTGTACTGGGCATTGTAGTACGTGTGCAGCCCAGACCATCTAAGGGAGGTGCTGTTCAGGGAACAAACCAAGTTACGTTTAACCTTAGCAATACGTAACTTA</t>
  </si>
  <si>
    <t>KF318264.1</t>
  </si>
  <si>
    <t>Verrucomicrobia bacterium</t>
  </si>
  <si>
    <t>HQ677594.1</t>
  </si>
  <si>
    <t>&gt;consensus_cl_id_0_total_supporting_reads_15</t>
  </si>
  <si>
    <t>ATAGCGTATATTAAAGTTGTTGCAGTTAAAACGCCCGTAGTCGAATTTTTGAGGGTAGGAAGGTTAAGAGGGGTGCTGGCTTTTGTTAGTATTCCTCTTTTCTTTTAGACCCTCATTTTAAATTCCTGGTCTTTGGGCCTATTTGCAACTTTACTGGTGTAGATAGGTCATTTCCTTTTGGTGGGCCAGGAATGATTACTTTGAAAAAATTAGAGTGTTCAAAGCGGGCTTTTTTAAGCCGAATACATTAGCATGGAATAATAAAATAGGACTATGGTTTTATTTTGTTGGTTTATAAAACTAAAGAAATGATGAATAGGTTTGGTTGGGGACATTAGTATTTAATAGTCAGAGGTGAAATTCTTGGATTTATGAAAGACTAACTTCTGCGAAAGCATTTGTCAAGGACAAACCCATTGATCAAGGACGAAAGTTGGGGGATCGAAGATGATTAGATACCGTCGTAGTCTCAACCATAAACTATGCCAACTAGGGATTGGGCCTGATCTGATCAGGCTCAGCACCTTGTGAGAAATCAAAGTTTTTGGGTTCTGGGGGAGTATGGTCGCAAGACTGAAACTTAAAGAGGTGCTGAAGAAAGTTGTCGGTGTCTTTGTGTTAACCTTAGCAATACGTAACTGAACGAAGTACGCTGAT</t>
  </si>
  <si>
    <t>PV276198.1</t>
  </si>
  <si>
    <t>Leidyana gryllorum (LSU)</t>
  </si>
  <si>
    <t>Zoophthora radicans </t>
  </si>
  <si>
    <t>JN939182.1</t>
  </si>
  <si>
    <t>&gt;consensus_cl_id_1_total_supporting_reads_5</t>
  </si>
  <si>
    <t>CCAGCTCACGTTCCCTATTAGCGGGTGAACAATCCGACATTTTGAGACTTCTGCGTCTCAATGATAGGAAGAGCCGACATCGAAGGATCAAAAAGCAACGTCGCTATGAACGCTTGGCTGCCACAAGCCAGTTATCCCTGTGGTAACTTTTCTGTCACCTCTAGCCAGAACCTTTCTGGACTTAAAGGATCGATAGGCCATGCTTTCGCAGTTCGTATTCGCACTGGAAATCAGAATCAAGCTGACTTTTCCCCTTTCAGTCTACGAGAGATTTCTGTTCTCTCTGAGTCAACCTTAGGGCATCTGCGTTGCAGTTTAGCAGATGTGCCGCCCAGCCAAACTCCCCATCTGAATATGTCCTCTGATACGATCGGTAAGAGAACCTTAAATCTAGAACACGTAAGAAAACGTGATTCGTTGTGACAGAGTAAGTAGAGCGACAGTGGAGGTCGTGGTATTTCACTGTCGCCAAAGCTCCCACGTATGCTACACCCCCAAGTCACTCCACAAAGTCAGACTAGAGTCAAGCTCAACAGGGTCTTCTTTCCCCGCTTATTTTGCCAAGCCCGTTCCCTTGGCTGTGGTTTCGCTAGATGGCGGATGGGGACAGTAGGAATCTCGTTGATCCATTCATGCGCGTCACTAATTAAATGACGAGGCATTTGGCTACCTTAAGAGAGTCATAGTTACTCCCGCCGTTTACCCGCGCTTGGGCGAATTTCATCGCAATGACATTCAGAGCACTGGGCAGAAATCACATTGCGTAAGCGTTGCCGCTTGTCGCAATGCTTTTGTTTTAATTAAACAGTCAGATTCCTCTTGTCCGTACCAGTTCTGAGTTAGCCGGTTAATGCCAACAGGATAGCCGAAGCTCCTAGCGTAGGCCACCGCTCGTTGCAACTCCCAAAGCGAGTAAACCCACTCCAAGAAAAGCGAGAACGATGAACTGTCACTGGGCCCTGAAGCTCGGCCCTCAGAGCCAATCCTTTTTCCAAGGTACAGATCTAATTTGCCGACTTCCCTCATCCGCCTTATTCTATCGACCAGAGGCTGCGAACCTAGGAGACCTGATGCGGTTTAGGGTACGGCTAGAAAGTGGAGTAAATATCCCTTGGGGTTTCAAAGGCCAATAGAAGCGCACCGGATTTCCAACGGGTGTAAGAAACTATGCCAACTTTTCATCCTTTTCTCCAGACAAGCCGATTCAAAGGAGTGGTGTTGTCAAAGAGCAAAGATAACGCTCCCCAGGGCTTCTCCTGGCAACCCAAGTTCAGTTGTGTTACCACAACCCCACCAACTAGTAAAGGAATTTGGGCCTTTTTCCCTTTCAGGTCAAGAGGCGAAGCCTCACTCTGAAGGAGTAAGCTTTTCCTTTAGGGCCGACTAACCCGAGGACAGTGCTGTTCTCCCGGAACCCTTATCCACTTCGGTCATCAAAGTTCTCATTTGATTAATTGCTACTACCACCAAGATCTGCACTAGAGGCTGCTCCAGCTAGTTTCACAACTAAGCCTTCTCAGCAACCCCCACGCCCTCCTACACGTCAATGCTAATTTCATTGACGGTTTGGTATCGGCCGCCCGCTTGAGCGCTATCCATTTTCAGGGCTGGTCCATTCGGCAGGTGAGTTATTACACACTCCTTAGCGGATTTCAACTTCCATGACCACCGCCCTGCTGTTTCAATGAACCAACACCTTTTATGGTGTCTGATCAGCGAGTGTTGAGCGCCTTAACCAAACGTTAGGAGCATCCCTCATCGCCAGTTCTGCTTACCAAAACTGGCCCACTAAGAAGTATCATTCATCTACCGAGCTAACTGAATTAGCAAGGTAGCAAACCCATTTAAAGTTTGAGAATAGGTCGAGGGCGGGATGCCCCCGGGCCTCTAATCATTCGCTTTACCGGATCTAACTGATCATTAACTTCCAGCTATCCTGAGGGAAACTTCGGAGGGAACCAGCTACTAGATGGTTCGATTAGTCTTTCGCCCCTATGCCCAAGTTTGACGAACGATTTGCACGTCAGTATCGCTACGAGCTTCCACCAGGGTTTCCCCTGGCTTCACCCAACTCAGGTATAGGTCACCATCTTTCGGGTCTAAACGAAAATGCTCAGGCTCGAACTTCAAGAGTCGGCTGCTGTTGCATTGTAATTCACAGCTTTTGCTTTCACTACGCGTCTGGGTTTGACACCCTTACACTCGCACTTTCGTTTAACTCCTTGGTCCGTGTTTCAAGACGGGTCGTCTGTACATGCCACTCTCGACAACTTGCAAAGGCGTACCACACTTCTCGATGTTAAGAACAAAGTTATAGCCGAAGCGACAACAAGTCATAACATACGGAAGTGATGTCGAGTAATGTAATGAGAGAAATCTCTCAAACATTGGGTCACGGACAGCCGCTTCCCCCTCAGCGATTTCAGGTATTTTAACTCTCCTTTCGAAGTGCTTTTCAACTTTCCCTCACGGTACTTGTTTGCTATCGATCTCTCACCGTTATCTAGCCGTGGATGGAGGTTACCACCCATTTTGCGCTCTACTCCCAAGAGCGTGACTCATTAGATTAAAGCTGTACTTGAGAATGGCTGGAATAAGAACAGGGCTGTCACCTTCTCTGGCGTGCCTTTCCAGGCATCTTCTTCCCAGTTTCTCAATAGCTATAACCTCGATGCACAACTCCGTCAGAAACGGATTAACATCGCGGGCTCTTCCACTTCGTTCGCCACTACTACGGGAATCCCAGTTGGTTTCTTTTCCTCCGCTTAATTATATGCTTAAATTCAGCGGGTAGCCTTGCTTGAGCTCGGATCATGATTTGGAAGCCTACTGTAATTACCTCAACATTTCACTGTATGAGTTCTTACAGGTAGCATCATTTAGCCAGTGACGTAAAGGACACTGTATGTCATCCATTCAATCGAAATTGATTGGAGAAATCTATACGATACCGAGCCAAACATACTTCAGGCCGAGGCCAGAAGTACCTTTGCGTTCAGAGATCTGGTGAATCACGAAATTTCGCAAGTCATACTGCTTATCGCGGTTTGCTGCGTCCTTCCTCGGTGTGAGAGTCGAGTCATCCATCGCTGAGAGTTTAATTCTCATTATTCAATGATTTAAGTCATGTTATTAACATTGAGTGCTTAGGTTGGTTGTTGTTTAAACAGGAATGATCCATCCGCAGGTTCACCTACGGATACCGTGTTACGACTTCTTCAGGCGCTGTTCGGGATCTCACAACATTTCCTCACGAGCGGAACAAAAGCGCTGTAAGTCCATGTAATTTGCCGGATCATCCAATCGGTTGAAGCGACGGGCGGTGTGTACAAAGGGCAGGGACGTAATCAGCACAAGGTGATGACATCGCCTGTCCATAATTGCAAAGGTCAATCCCTATCACGACGGAGTTTCACAAGATCTTTCCCGCTCCGTACGGAGTAGGGTAGAGCTCCTTGACTCCGTCGTGATAGGGATTGACCTTTTT</t>
  </si>
  <si>
    <t>AF286298.1</t>
  </si>
  <si>
    <t>&gt;consensus_cl_id_20_total_supporting_reads_40</t>
  </si>
  <si>
    <t>AACAGGAGTGGAGCCTGCGGCTTAATTTGACTCAACACGGGAAATCTCACCAGGCCCGGACACCGGAAGGATTGACAGATTAACAGCTCTTTCTTGATTCGGTGGGTGGTGGTGCATGGCCGTTCTTAGTTGGTGGAGCGATTTGTCTGGTTAATTCCGGTAACGAACGAGACTCTAGCCTGCTAAATAGGCGTCGCCATTTAGGTGTGCGCGGCATCCGTGTCGCGCAACTCACTGGCGACGTATTAAAATTCTTCTTAGAGGGACCGGCGGCTTCGAGCCGCACGAGATTGAGCAATAACAGGTCTGTGATGCCCTTAGACGTCTTGGACGTAACTGAAGAAGAAAGTTGTGGTGTCTTTGTGTTAACCTTAGCAATACGTAACTGAACGAAGTACCTGGCTGGCGGCTAAGCGTTCATAGCGACGTCGCTTTTTGATCCTTCGATGTCGGCTCTTCCTTTTATCGCCGCGCCAATTTTCGCCAAGCGTCGGATGTTCGCTAACAGGAACGTGGCTGGTGGTTTTAGACCGGGTCGTGAGACGAAGCACA</t>
  </si>
  <si>
    <t>&gt;consensus_cl_id_3_total_supporting_reads_48</t>
  </si>
  <si>
    <t>GATACTTCGTTCAGTTACGGTTGCTAAGGTTAACACAAAGACACCGACTTTCTTCAGCACCTGAATTGACGGAAGGGCACCACCAGGAGTGGAGCCTGCGGCTTAATTTGACTCAACACGGGAAATCTCACCAGGCCCGGACACCGGAAGGATTGACAGATTAACAGCTCTTTCTTGATTCGGTGGGTGGTGGTGCATGGCCGTTCTTAGTTGGTGGAGCGATTTGTCTGGTTAATTCCGGTAACGAACGAGACTCTAGCCTGCTAAATAGGCGTCGCCATTTAGGTGTGCGCGGCATCCGTGTCGCGCAACTCACTGGCGACGTATTAAAATTCTTCTTAGAGGGACCGGCGGCTTCGAGCCGCACGAGATTGAGCAATAACAGGTCTGTGATGCCCTTAGACGTCTTGGACGTAACTGAACGAAGTTGTCGGTGTCTTTGTGTTAACCTTAGCAATACGTAACTGAACGAAGTACGGTAGTCACCCCCCCCCCCCCCCCCCCCCCCCCCCCCCAAAAGGATCGATAGACCGTCGTGAGACAGGTACGTAAACTGAACG</t>
  </si>
  <si>
    <t>Millerozyma farinosa</t>
  </si>
  <si>
    <t>ACGCGCGCTACACTGACTGAGCCAGCGAGTTTAGCGTCTTGGATGAAAGGTCTGGGTAATCTTGTGAAATCAATGTGCTGGGGATAGAGCATTGCAATTATTGCTCTTCAACGAGGAATGCCTAGTAAGCGCAAGTCATCAGCTTGCGTTGATTACGTCCCTGCCCTTTGTACACACCGCTCGTCGCTACTACCGATTGAATGGCTTAGTGAGGCCTCCGGATTGGTTTAAAGAAGGGGTAACTCCATCTTGGAACCGAAAAGTTGGTCAAACTTGGTCATTTAGAGGAAGTAAAAGTCGTAACAAGGTTTCCGTAGGTGAACCTGCAGAAGGATCACGTA</t>
  </si>
  <si>
    <t>AB013513.1</t>
  </si>
  <si>
    <t>&gt;consensus_cl_id_5_total_supporting_reads_2</t>
  </si>
  <si>
    <t>ACGTGCGCTACAATGACGGAGTCAGCGAGTTCTTGCCCTACTTCGTACGAAGCGGGAAATCTTGTGAAACTCCGTCGTGATAGGGATTGACTTTGCAATTATGGGTCATGAACGAGGAATTCCTAGTAAGGACAAGTCATCACCTTGTGCTGATTACGTCCCTGCCCTTGTACACACCGCCCGTCGTTTCAACCGATTGGATGATCCGGCAAACCATATGGACTTACGTAGCTCTTTGTTCCGCACTGCTCCTCGTGAGGAAATGTTGTGAGCCTTATCATCTAGAGGATGAAGAAGTCGTAACACGACGTAACTGAACGAAGTACAAT</t>
  </si>
  <si>
    <t>ATTGTACCTACGTTCAGTTACGTATTGCTAAGGTTAACACAAAGACACCGACAACTTTCTTCAGCACTACCTGTCTCACGACGGTCTAAACCCAGCTCACGTTCCCTGTTAGCGGGTGAACAATCCGACGCTTGGCGAATTCTGCTTCGCAATGATAGGAAGAGCCGACATCGAAGGATCAAAAGCGACGTCGCTATGAACGCTTGGCCGCCACAAGCCAGTTATCCCTGTGGTAACTTTTTCTGACTTCCACCTCTTGCCGAAAACTCTTCGAGCAAAAGGATCGATAGACCGTGCTTTCGCAGCCCCAGACTATCTAAGG</t>
  </si>
  <si>
    <t>AY859544.1</t>
  </si>
  <si>
    <t>GQ458041.1</t>
  </si>
  <si>
    <t>&gt;consensus_cl_id_3_total_supporting_reads_2</t>
  </si>
  <si>
    <t>ACCGTGTTACGACTTCTTCATCCTCTAGATGATAAGGCTCACAACATTTCCTCACGAAGAGCGATGTAGAACAAAGCGGCTACGTAAGTCCATGCAATTTGCGGATCATCCAATCGGTTGAAACGACGGGCGGTGTGTACAAAGGGCAGGGACGTAATCAGCACAAGGTGATGACTTGTCCTTACTAGGAATTCCTCGTTCATGACCCATAATTGCGAGGTCAATCCCTATCACGACGGAGTTTCACAGATTTCCCACTCCGTACGGAGTAGGGTCGAGCTCGCTGACTCCGTCATTGTATACGTGCAGCCCAGGCCATCTAAGGGCATCACAGACCTGTTATAGGCTCGAACTTCCTTGTGATCTCACAAAGTCCCTCTAAGAAGCCAATCGCTTACGAAGTAAACGAAGGCTAGTTAGTAGGTCGAGGTCTCGTCCGTTATCGGAATTAACCAGACAAGTCACCTCACCGACTAAGGACGGCCATGCACCACCACCCATAGAATCGAAGAACTCTCAATCTGTCAATCATGACTATGTCGGGGCTAGTGAGGTTCCCCGCGTTGGGTCAAATTAAGCCGCAGGCTCCACTCCTCAATTTGCCCTTCCGTCAATTCTTTAAGTTTCAGCCTTGCGACCATACTCCCCCAGGGCCCAGAGACTTAGATTTCTCTTGGAGTGCGGGAGTCGTATTTGTGCAGCCTCCGATCCTCAGTCGGCATAGTTTATAGTTGGGACTTCGACGGTATCTAAGCGTCTTCGATCCCCCAACTTTCGTCCTTGATTAACAGGCACACACTGGGCAAATGCTTTCGCACTTGTTTGTCTTTGCTGGGTCTTAGAATTTCACCTCTCTCCAGCATGTAAGATGCCCCCGTATGTCCTTATCAACCATTACTTTTGTTCCACGTCACCAACAAGGAGGATCTGATTCCCTATGTTGGTATTCCATGCTGAGCTGTTTAAGCTATAGCCTGGTTGGAGCACTCAATTTGCTCAAGTAACAGAGCGGTACAGCCGAAGCTATCCACGAGTCCGAAACTGAAAGTGCACTGACTAACACAAGTCCGGACAGGCGTCTCTCCGATTTGGACGAAATCAACTACGGGCGCTTTAACTGCAGCAATTTTAATATACGCTATTGGGCTGGAATTACCGCGGCTGCTGGCACCAGACTTGCCCTCCAATAGGTACTCGCTGATAGTTTTGCTTTCCCGCTCATTGCAATCACAGAACCGAAAGGTCTGAGTTGCTATTTCTGATCACTACCTCCCCGTATCGGGATTGGGTAATTTCGCGCCTGCTGCCATCCTTAGATGTGGTAGCCGTCTCTCAGGCTCCCTCTCCGGAATCGAACCCTATTCCCCGTTACCCGTCACAGCCTCGGTGCTAATACCTACCGACGGGGCCGATAGGTCAGAAACTCGAACGAACTGTCGCAGATGCGATCCGCTCGGTCATTATGATCACCAAGAACAGGTCCGAAAACCTGGATGGTTCCAATGCTAATGGATGCCACCCTTCTGAGAAGTCGGGTGTTTTTGCATGTATAGCTCCAGAATTACCATGGATATCCATTTGGTAATGATCTTCGTGTGGATTATAACTGTTGTAATGAGCTATTCGTTGGTTTGCCGTATAAAGCTTGTACGCGGACTTGCATGGCTTAATCTTTGAAACAAGCATATGACTACTGGCAGCCAAGACATCTTAGGGCATCACAGACCTGTTATTGCCTCTCTGCGGTGATCGACGGTCCCTCTCGATGATTTAATCCGTCGCCATCAGTGCACCACGCATACCCGCCACTGACGCATCTGTGCAGCAGAGTCTCGCGTCACCGGAATCAACCAGCACATCGCGTCCCACCGCTGTTGAACGGCCAACACCCCCTCTCCTGACCGTCACGGTTAATCACGGTGTCGGTGTGAGGTTATCCATCATCGCTGTTGAGAAACGCGACGCTCCCCTGAATGCATTTTAAATGATTCAGGTGCTGAAGAAAGTTGTCAGTGTGTGTGTGTGTGTGTGTGTGTGTGTGTGTG</t>
  </si>
  <si>
    <t xml:space="preserve">Leidyana gryllorum </t>
  </si>
  <si>
    <t>GTTCTGTTTTCATTCCCATCATTTGTACCCTGCTATCGTAAACGTAACACAGGTAGGGTTGCTGTTCCGCTTTTGTCCTTTACATTAACTTTTCCCTGACGGGATATTGAAAATGGACGACGCGATGCTCAGCTGCTTGAGCAATTTGAAATGCAATTGCATTTTATGTTGCAGAAAGTAGATCTAACACTTCAATTGCTTTGTTTCTTAATGTCTTTTAATTTCCTTTGTCAATCAGGGCCGCAACGGTCTCGGCAAGCATTTATGTATGGGCCAGTGGCGACGTTGGTGAGGACGACGACTGCAACTGCGATGGATATGCCGCTTCCATGTGGACTGTCTCAGTCAACAGGTATTCAACTATTTTAAAAATCGTAATCTTACATAATAATACTTGTTTATTTTATACTTATTTATTATTTTAACTTCGGAGTTTCCTAAATTTGGAACTTTAAAGGAGCTTTTATTCATAATATATGATATGAAAGCAGCACCACGGTTGTGTTGCGAGCAATACAGCGCGAATCAAGTTCCTAATTTTGCTTACCCAAGGCTTATTTATTGGCGTTTAAAATTTAGAGATATTTAACAAGTATAGGTATACTGAGATATATAGTAATTCATCTTAGTTAAAAATCTGATAAGTTATATAAATTAAATTTAGCTGAACTGCAAATTGATAGATACTAAAATTATAGACAAAAAAAAAAACAGTTTGTAGTCACGTGAATTTAAAATGTCAAATTAAAAGTTTATAATAAGCCCTAGAGACAGAATCTACTACAGTTACTATTACTTAATCTGTGATTAGAATAATAAAATAAAAAAATAATTAAAATGAATTAATTAATTTAAATTGGTATAACAAAATATAACTAAGCTGTAAAGCCAAACTCCAGATCAAAAGGAAAAAGTAGGTGTTGTGTCGTATTAAGAGGTGAAGAGACTCACTGAAAACGTAGTGAGTGGCAAGAGCTCCACCGATAAGAGCACAGCTCTTAAATAGGAAATGAAATATAAAATCAAACGACAATTGTCGAACGCATTTGAAGAAAGATAGGATGAACATGGAAACAATAGATATAACGTGTTCAAGTTATTTTACATCGAAGCGTTGTTTTCCAGTTGCAACCCGATAATGACAAGTAATTAACAACGAATCCCTTCTATTCAATTTATTGGAACCTCTCTTGTTCTTTGAAGGACGGGCCACACGCTTTTGTGGAGCATTACATTTGTTTATATACAAGTATGTCCCATTACATATTCCGGGAAGTAACAAGACTCTTCAGAAGCAGAAGTGTATGAAATAATGAAATTTTACAAGCATCTTTACATCTTATTTATATTGCCATTATTAATAATTCTTAAAGTCCACTAAAATATAACTCTATATTCAGATGATTATACCTCAGATTATTTCAGCGCAATCAACGACGGTCAGAATGCACATTACGATGAATCCCTGTATAATCAGCTCAACGAAAGCACGTTCAGTAACGGCGCTCGAGATCCAAGTACAGGTGTTGCTACCACGGATTTGTATGGCAAATGTACCGCGACGCATTCTGGAACATCGGCAGCTGCCCCTGAAGCAGCTGGAGTGTTTGCACTCGCGTTACACTGCCAAGTAAGTAACCTCTGGATTCTTTGCTAATAATACTTATAAAATTGCCGTGTTGATAGAAAATTGTCTATTTTCGCGCGAATTCCTTTTCAGGGTAGGTAAAGAGAACTAAGTGCAAAGCCCTCTACTCTTATATACATCTCTTGCTTTATGCCCTTTCGTATCTCGTCTTATACTCATTTCAGTGACACTTAACTTCCCTCCTAAATCAGAACACGGTTTGTCTGATTATAATACTAGTTGGAACATCGAGGTTCACCCTCGATAGTGACTTAGTCTTTTCAAAGTTGAAGTATGCAGGATATTTAGAACATGCCGCCCTTAAAAGAGATTGGTATTAATTTCTTTTAAATATTTGTTTATTCTTTTTTCTTTTTATTACATTTCGTTAGAAGGCGAAGTATTTCTTCAACTTACCCACAATAGTCAACATTCCTGGATTTGAAGAGGACAAATAATAAGCTAGCAAAACCCGAAAGATGTTGTTTTGCTTCATCATCATTAATATTTGCCATTATCTGTCCCATAAACTGCTATAAGGAATGGTCCTGAGTCACCTCTATTCACTGACTTCCTGCAATGCATTTGACGTCGTCACTCTAATAGAGGATCGTCCTACATTGCGTATGTGTGCCCTTCCGTCAATTCCCAAGATGTCTAAGGGCATCACTTCAGAACATACCTGCTCTATTTGGCTAATTCTTTTTTATTGTGTTTATAATTGTTAGGACAAGATTTGTATGAAAAGGTTTGAAAGTTCTAGTACACACCCGTGCGAAACAAGAGCTGGCAGCTAGTATTGTACACTCAGATAGTTAGGTGTCTGAAGATTTAACTTAAAATGGTTTTACCTTGATGACGCTATAGAGAAGTGGCCCATTTTATTAATTTCCTGTTTCTGAAACCCTTGAGAACAAAGTAACGGACAAGAAGTTAGTTACAAACAATATATTAATGGGAAAGATCATTTAAAGTAGATCGCCGTATGTGTCCCAGGATAGAATGGGCCATCCCTTCCTTTTCCGCGGGTGGCGTAACTAACGTAACCAACTCGCCTGCTAAGCGTGGCAACTATTGCTAAAAAACTTTCCTTATGGGAAGATTTATGTTCAGCAGTGGACAATTAACGGCTGAAATAATAAAAAAAACCGTAATGTTAGTACATTCATTATGGTTTCTTATGGTTGACTGGGAGAGACTGCTTTTAGCATTAAGCCCGCCATGTACATATATGTAGTGTACATGGCGGGCATGCTATTCTAAGTATCATAATTAATTTACATATATATGTACAAGTAAATACTAAATTACATATATTCAAACTAATAATGATAGACATGCTTGCTTACACATTTATATTCAGTCCAGACATTTTAATTGAAAATGTAGGTTAGGTATATAAAAGGATCGGCCCGTCTCTTTTTAAAATGCAGGCCGAGTTTCAAAATAAACTGATATATCGGATTTGTGTGGTACTAGAAATGGAGTCGTGTACC</t>
  </si>
  <si>
    <t>XM_052900502.1</t>
  </si>
  <si>
    <t>AB032625.1</t>
  </si>
  <si>
    <t>Naganishia vishniacii</t>
  </si>
  <si>
    <t>TTGCTGGCCTGAAGTATGACAGAACAACATCACCAGCAACACCATTGAAACCGCACATGATGGTACTATAATGGTCATGGCTAACAGTTATGAACTTTGCTGCGCAGTACCAGTTCGACTGCTGGTCTGCGTCCATCCATCGCTTACCTGAAATCCAAAGGTAAAGACATCGGTTCTTATGGCTACCAGGATCTGGTTGAATACGTTGACGTTGGCGCGAGCTACGCTTCAACAAAAACATGTCCACCTACGTTGATTACAAAATCAACCTCGGCGATAGCCAGTTCACTAAAGATGCCAAAGTGGCTACCGATAAACATCGTGGCTGTGGTCTGACCCACAGTTCTAAGATCTTAGCGAGTCGCGCGCCAGCCCTCCCGGCTGGCCTTTTTTATTACTGCTGCCCTCCGGACTTTCGCCAGACTAAACCAGATCCTGACCGCCAGAATCAGCAGCATGCCCCCTGCACTGCCCAGGCCACGCCAAAGAGGTGATGAACGCAGTTTTCGCCGCCGTCATCACCGGCTCGGCCAGTGACGGCGTCAGCTCCTGCGCCAGACCTTCATCGCTTCACCGATGGACGACGAGGCTTTATCGGTCAGCGACGCGCGCTCAGCTCCTGCGGCAGTACAATAGACGCCGAAAAGCTGCGGGTTAACAGCAAACTGAAAATGGCGATCCCCAGACCAGCGCCCAGCTCGTAGGACATGGTTTTGACTGGTGCCTGCGGCGGCCGCCGCTGGCGCGGCAGCCATGATCGCTGACGTCGATGCCAGCAGTGCGCTGGCGGTAATCGAAGCCCAACAGCACCATCAGGCTCCACGCCCGCCACTGTTATGCTGGAAATCAAGCATCGACAGGCCGATAAAACTGACTGCGCTTAGCCCTGCGCCTCCGGCCGCGACAATGCGCAGCCCCAGACGCCCGACCAGCACACCCGCGATCGGCCCGCTAAATCCGCTCGCCACCATCACCGGCAGCATAAATATCCCTGCTTCAAACGGCGTAAAACCACGCACAAACCGCAACTCCTGCGCCATCAGCAGTTCAAAGCCCACCAGCGCAATCATGAGTGGTCATCGCCATGACCACGCCGCTTAAAATAATGCGATGGCAAAACAGACGCATGTCGATCATCGGTACGCGCGCGCGCGCAGCGCTGGATACGAATGAAGATAAACAGCATCACCGCCCCGGTAAGCAGCGTAATGGTCACCATCCACGGCGACAGCACCCCTTCAAGGCGGTTTTGGCGCTACAGACCAGCAGTAAAATCAGCCACAATTAGCATAATGGGCATGGTTGATATTGAGCGGCTGCTCGGGCCGCCCCTGCTGAGCAGGCACAAAGCGCGCAGCAAGCGAAACCACCATCAGCACGATCGGCACGTTAATCAGGAAACCACTGACTCCCCAGCAAAAGTGCTCCAGCAGCATGCCGCCAATCAGCGGCCAAACGCCGCGCCGCCCGACCCAACGGCAGCCCAGACTATCCAAGGCTGCCAGTAGTCATCACATGCTTGTTTCAGCGCTGAGAGCTGATGACGAGTCGTCTTTGGGATGACGAAGTGCAGAGCGATGCCATGCCCAGCAGCGTTTCCAGGCTTCAGGTAACCAGGAACTGTGACTCCCCAAACCGACACAGGTGGTCGGGTAGAGAGAATACCAAGGCGCTTGAGAGAACTCGCGAAGGATCCAGTAAAATGCGTCTGCACTTCGGGAGAAGGTGCGCCGGCTAGGGTAAAGGATTACTCCGTAAGCTCATTACCGAGCAACAGGCCGCTGCGACTGTTATTAAAAACACAGCACTCTGCAAACACGAAAGCGGACGTATAGGGTGTGACGCCTGCCCGGTGCCGGAAGGTTAATTGATGGGGTTAGGCGCAAGCGAAGCTCTTGATCGAAGCCCCGGTAAACGGCGGCCGTAACTATAACGGTCCTAAGGTAGCGAAATTCCTTGTCGGGTAAGTTCCACCTGCACGAATGGCGTAACGATGGCGGCGCTGTCTCCACCCGAGACTCAGTGAAATTGAAATCGCTGCGGAAGTAGTGTATCCGCGCCAGACGGAAAGACCCCGTGAACCTTTACTGTAGCTTTGCACTGACTTTTGAGCCTGCTTGTGTAGGATAGGTGGGAGGCTTTGAAGCGTGGACGCTAGTTCGCGTGGAGCCATCCTTGAAATACCACCCTGGCATGCTTGAGGTTCTAACTCTGGTCCGTGATCCGACGATACAGTGCATGGTGGGCAGTTTGACTGGGGCGTATTCTCCCCAAAGAGTAACGGAGGAGTACGGCGGTGTGCCCAGACCGAATGGAAATCGGTCGCAGAGTATAGGCAAAAGCGCGCTTGACTGTGAGACAGACACGTCGAGCAGGTACGAAAGTAGGTCTTAGCATCCGGTGGTTCTGTATGGAAGGGCCATCGCTCAACGGATGTGTACCCGGGGATAACAGGCTGATACCGCCCAAGAGTTCATATCGACGGCGGTGTTTGGCACCTCGATGTCGGCTCATCACATCCTGGGGCTGAAGCCGGTCCCAAGGGTATGGCTGTTCGCCATTTAAAGTGGTACGCGAGCTGGGTTTAGACCGTCGTGAGACAGGTCTGCCGCAGTCATTTGCTTTCTTCCAAAGAATGTGTTTCAATTGTCGAGAGAGTAGTAGTAGTAGTAGTATAGCGAGTCTTTTTACAGCTGTCGCAGTTTCTCGCTGCCTAATCTCCATTTCTTTCAGTTTTCCCATGCATTTTCCTCTAAGCCTCTTGCCATCATCATTACTTTTACTTCTTCCTCCCATTTCCTTCTTGGTCTTCCTCTATACCTCCGTTCTTCTGGTATATATCGCCAAACTTTATTTGGCAGTCGTT</t>
  </si>
  <si>
    <t>MN268781.1</t>
  </si>
  <si>
    <t xml:space="preserve">Debaryomyces sp. </t>
  </si>
  <si>
    <t xml:space="preserve">Enterobacter hormaechei  </t>
  </si>
  <si>
    <t>CP047765.1</t>
  </si>
  <si>
    <t>CCAGCTCGCGTACCACTTTAAATGGCAGGCGCCCACCCTTGAGACCTACTTCAGCCCCAGGATGTGATGAGCCGACATCGAGGTGCCAAACACCGCCGTCGATATGAACTCTTGGGCGGTATCAACCTGTTATCCCGGAGTACCTTTTATCCGTTGAGCATTATTTTTAGCCGCTCAGGTCCACCTGCCAGCCACACTGATCACTATGACCTGCTTTCGCACCTGCTCGCGCCGTCACGCTCTCGCAGTCAAGCTTCAGCTTATGCCGGTGCACTAACCTCCTGATGTCCGACCAGGATTAGCTAACCTTCGTGCTCCTCCGTTACGCTTTGGGAGACCGCCCCAATCAAACTACCCACCAGACACTGTCCTGGCCACGGTCAGGGCCAGGTTGAAACATCAAACATTAAAGGGTGGTATTTCAAGGTTGGCTCCACGCAGACTGGCATCCGCTTCAAAGCCTCCCACCTATCCCACCACATCAAGGCTCAATGTTCAGTGTCAAGCTATAGTAAAGGTTCACGGGGTCTTTCCGTCTTGCCGCGGAGTACACTGCATCTTCGCTGCTTGAGTTCAATTTCACTGAGTCTCCGGGTGGAGACAGCCTGGCCATCATTACGCCATTCGTGCGGGTCAGGCTTTACCCGACAAGGAATTTCGCTACCTTAGGACCGTTATAGTTACGGCCGCCGTTTACCGGGGCTTCGATCCAGAGCTTCTCCTTACGGATAACCCATCAATTAACCTTCCGGCACCGGGCAGGCGTCACACCGTATGCGTCCACTTTCGTGTTTGCACAGTGCTGTGTTTTTAATAAACAGTTGCAGCCAGCTGAGTATCTTCGCTAGTCTCAGCTCCATCCGCGGAGGACTTCACCTACACACCAGCGTGCCTTCTCCCGAAGTTACATGGCTCATTTTGCCTAGTTCCTTCACCCGAGTTCTCTCAAGCGCCTTGGTATTCTCTACCTGACCACCTGTGTCGGTTTGGGGTACAGTCCCAATGTTACCTGATGTAGAGGCTTTTTCCTGGAAGCAGGGCATTTGTTACTTCAACACCATGCGGCATAGTTCTTCTTTTACCTCAGCCTTGATTATCCAGGACTTGCCTGGACAACCAGCCGCGTCGCCAAACCCGGGACAACCGTCGCCCGGCTAACATAGCCAACGCCGTCCCCCCTTCGCAGTAACACCAAGTACAGGAATATTAACCTGTTTCCCATCGACTACGCCGCTGACGCCTCATGGCAGGGGTCGACTCACCCTGCCCCGATTAACGTTGGACAGGAACAGCAGGTCTTCCGGCGAGCGGGCTTTTCACCCGCTTTATCGTTACTTATGTCCAGCATTCGCACTTCTGATACCTCCAGCAACCCTCACAGGTCACCTTCGCAGGCTTACAGAACGCTCCCCTACCCAACAACACATAGTGTCACAGCTGCCGCAGCTTCGGTGCGTAGTTTAGCCCCGTTCGCGTATACAGGCCGACTCGACCAGTGAGCTATTACGCTTTCTTTAAATGATGGCTGCTTCTAAGTAACACCTGGCTGTCTGTGCCTTCCCACATCGTTCCCACTTAACCATGACTTTGGGACCTTAGCTGGTCTGGGTTGTTTCCCTCTTCACGACGGACGTTAGCCGCCGTGTGTCTCCCGTGATAACATTCTTCGGGTATTCGTAGTTTGCATCGGGTTGGTAAGTCGGGATGACCCCCTAGCCGAAACAGTGCTCTACCCCGGATGGTTACGAGGCGCTACCTAAATAGCTTTCGGGGAGAACCCTATCTCCGGTTTGATTGGCCTTTCACCAGCCACAAGTCATCCGCTAATTTTTCAACATTAGTCGGTTCGGTCCTCAGTTAGTGTTACCGGGCTTCTTCAACGGAACAGATCACCGGGTTTTTCGGGTCTATACCCTGCAACTTAACGCCCAGTTAAGACTCGGTTTCCCCTGCGGCTCCCTATACGGTTAACCTTGCTACAGAATGTTAGTCGCGCGACCATTATACAAAAGGTACGCGGTCACGCGAAGGTGCTCCCACTGCTTGTACGTACACGGTTTCAGGTTCTTTTTCACTCCCCTCGCCGGGGTTCTTTTTCGCCTTTCCCTCACGGTACTGGTTCACTATCGGTCAGTCAGGAGTATTGCAGCGCGGAGGGGATGGTCCCCATATTCAGACAGGATACCACGTGTCCCGCCCATCTCTTCGAGTTCTACAGCCTGTGCATTTTGGTGGCGGACTATCACCCTGTACCGTCGGACTTTCCGAACCGTTCCACTAACACACAAGCTGATTCAGACTCTGGGCTGCTCCCCGTTCGCTCGCCGCTACTGGGGGAATCTCGGTTGTTCTTTTCCTCGGGGTACTTAGATGTTTCAGTTCATTCGCCTCGTTAACCTGTATTCCAAGTTGTTTTCCACGATAATTGTGACCGAATCACCTGGAACATTCGGACATCGCCGGTTATAACGGTTCATATCACCTTACCGACGCTTTTCGCAGATTAGCACGTCCTTCATCTCTGACTGCCGGGGCATCCACCGTGTACGCTTAGTCGCTTAACCTCACAACCCGAAGATGTTTCGCTTCAGTTGATTTGAACTCGGACGCCCATTAACTGTGTGTCGTTTCAATTTCAGCTTGATCCAGATTTTTAAGAGAGCAAAACTTCGCAGTGCACCTTTTCAGGTTGCTCTGAAGTTTTCTTGTGTTCTATTAAAGATGGTGGAACTGTGCGGGATCGAACCCGCAGACCTCCTGCGTGCAAAGCAGGCGCTCTCCCAGCAGGCTATAGCCCCATCGAATGAAATCCTCTTTAACCTTAATTCGTTTTTCGGGGCGCGGCGTGGTGAAGCGAAGCATACGGAAGTATGCGAGCTTTGCCACAACAAAGCACAGGCAGGCCCAGTGAGCCTGGTGGACTTGAACCACCGACCTCACCCTTATCGGGTTGTCTAACCACCTGAGCTACAAGCCTGCAGAGATTACTTACTGCTCTATTTTCATCAGTGATCCTGTGTGAGCACTGCAAAGGCAGGTTCTTTAAGGTAAGGAGGTGATCAATACGGAGTTTCCCCATGATTTTGTGACGACTTCACCCCAGTCGCCTTGAATCACAAAGTGGTAGCGCCCTCCCGAAGAGGTTAAGCTACCTACTTCTTTTGGCGATGCTCCATAGTGTGACGGGCGGTGTGTACAAAGGCCCGGGAACGTATTCACCGTAGCATTCTGATCTACGATTACTGGCGATTCCGACTTCATGGAGTCGAGTTGCGAACTCAATCGGACTACGACATACTTTATGAGGTCCGCTTGCTCTCGCGAGGTCGCTTCTCTTTGTATATGCCATTGTAGCACGTGTGTAGCCCGGTCGTAGGGCCATGATGACTTGACGTCATCCCCACCTTCCTCCAGTTTATCACTGGCAGTCTCCTTTGAGTTCCCGAGGGCGTGACGGCAAGGTTGAGGTTGCGCTCGTTGCGGGACAGCTTAACATTTCACAACACGAGCTGACGACAGCCATGCAGCACCTGTCTCCGCAGTTCCCGAAGGCACCAGTTCATCTTCTGCGAAGTTCTGTGGATGGTCGGTAAGGTTCTTCGCGTTGCATCAATTAAACCACATGCTCCACCGCTTGTGCGGGCCCCCGTCAATTCATTTGAGTTTTAACCTTGCGGCCGTACTCCCCAGGCGGAATGCCGATTTGACGTTGGCGTCAGACCGCCTCGGGGCATAACCTCCAAATCGACATCGTTTACGGCGTGGACTACCAGGGTATCTAATCCTGTTTGCTCCCACGCTTTTCGCACCTGAGCGTCAGTCTTTGTCCAGGGCCGCCTTCGCCCCGGTATTCCTCCGGATCTCTACGCATTTCACCGCTACACCTGGAATTCACCCCCTCGCCAGGGCTATAGCCTGTTTCGTTCGAATGCAGTTCCCGGGTTGAGCCCGGGGATTTCACATCCGACTTTGACAGACCGCCTGCGATACGCTTTACGCCCAGTAATTCCGATTAACGCTTGCGCCCTCCGTATTACCGCGGCTGCTGGCACGGAGTTAGCCGGTGCTTCTTCTGCGGGTAACGTCAATCGATGAGGTTATTAACCTCACCGCCTTCCTCCCGCTGAAAAGTGCTTTACAACCCGAGGCCTTCTTCACACGCGGCATGGCTGCATCGAACGCCCATTGTGCAATATTCCCCACTGCTGCCTCCCGTAGGAGTCTGGACCGTGTCTCCAGTTCCAGTGTGGCTGGTCATCCTCTCAGACCAGCTAGGGATCGTCGCGCTGGATGAGCCGTTACCCACCTACTAGCTAATCCCATCTGGGCACATCTGATGGCATGAGGCCCCGAAAGGTCCCCCACTTTGGTCTTGCGACGATTTATGCGGTATTAGCTACCGTTTTCCAGGCGGTTTATCCCCCTCCATCAGGCAGTTTCCCAGACATTACTCCCCGTCCGCCGCTCGTCGCGAGGAGCAGAAGCCTTCTGTGTTACCGCTCGACTTGCGTATGTTAGGCGGCGTTCAATCTGAGGCCATGATCAAACTCTTCAATTTAAGTTTGATTAGCAAAAAATTAAACTTACGTAATGAATTACGTGTTCACTCTTGCTGAGACTTGGTATTCATTTCGTCCGAGGACGTTAAGAATCCATGTCACTTTGAGTGCGCGCCCCGGTGTCTGATAGAAGGTTGTTTAAAGAGCAGTTGCAACGCGGCTTTCAGCTCACCGTTGCAGGGTCCCGTATAATACGTTTTCCTCATTCCAGAGTCAAGCCTTATTTTGCTTTTCTCATCGGTTTTACTTCGCGCTAGACTTCATTAAAAACCCTGCTGACCCGGCGGCTTGCTTGCCGTTGTTCCGTGTCAGTGGAGGCGCATTATAGGGAGTTCTGAGACGTTGACAAACCCTGTTTCAAAAAAATTATTCAACCGTCTCTTTTTTGTGCAAAACGCCCTTAGAGCGGCTGATTTTTCCAGCGTCGAAGCATAGCGACGCAGAACGGGTAAAAGCTGTTCTGTTTCTGCCGTCAGCGCCATGCAGAATGCCTTATTCTCGTCGCTGGACTTCGCATCCGGCGCTTCATGCTCTAACAGCCAGGCGGTGCGACGGGCAATCGCTTGCGCCGGAATCGATCAGCCGTGTG</t>
  </si>
  <si>
    <t>CP061404.1</t>
  </si>
  <si>
    <t>Klebsiella pneumoniae</t>
  </si>
  <si>
    <t>CP167770.1</t>
  </si>
  <si>
    <t>Acinetobacter baumannii</t>
  </si>
  <si>
    <t>CACACACACACACACACACACACACACACACACACACACACACACACACACACACACACACACACACACACACACACACACACACACACCCCCCCCCCCCCCCCCCCCCCCCCCCCCCCCCCCCCCCCCCCTCACACACACACAGAGACAGAAAAAAAAAAAAAATATAGACCGTGTGTGTGTGTGTGGCAGGTGGTGGCAGGTAGGCAGGCAGGTGGTAGGTGGTGGTGGTGGTGGTGGCAGGTGGCAGGTGGGTGGTGGTGGTGGTGGTGGTGGCAGGTGGCAGGTGGTGGTAGGTGGCAGGTGGCAGGCAGGTGGCCCCCCCCCCCCCCCCCCCCCCCCCCCCCCCCCCCCCCCCCCCCCCCCCCCCCCCCCCCCCCCCCCCCCCCCCCCCCCCCCCCCCCCCCCCCCCCCCCCCCCCCCCCCCCCCCCCCCCCCCCCCCGCGCGCGCGCGCGCGCGCGCGCGCGCGCGCGCGCGCGCGCGCGCGCGCGCGCGCGCGCGCGCGCGTGTGTGTGTGTGTGTGTGTGTGTGTGTGTGTGTGTGTGTGTGTG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CGTGTGTGTGTGTGTGTGTGTGTGTGTGTGTGTGTGTGTGTGTGTGTGTGTGTGTGTGTGTGTGTGTGTGTGTGTGTGTGTGTGTGTGTGTGCAAAAAAAAAAAAAAAAAAAAAAAAAAAAAAAAAAAAAAAAAAAAAAAAAAAAAAAAAAAAAAAAAAAAAAAAAAAAAAAAAAAAAAAAAAAAAAAAAAAAAAAAAAAAAAAAAAAAAAAAAAAAAAAAAAAAAAAAAAAAAAAAAAAAAAAAAAAAAAAAAAAAAAAAAAAAAAAAAAAAAAAAAAAAAAAAAAAAAATCGACAGCACCTGGAATTGACGGAAGGGCACCACCAGGGAGTGGAGCCTGCGGCTTAATTTGAGTCAACACGGGGAATTTTACCGGCCCGACATGGTTATGATTGACAGGTGAAGAGATCTTTCTTGATTCTATGGGTGGTGGTGCATGGGCTGTTCTTAGTCGGTGAGGTGACTTGTCTGGTTAATTCCGATAACGGACGAGATCTCGGCTGTCTCCTTTCTTCATCATTCCTGAGAAGCTGTATGAGAAGGACTCTGGGGTTTTACCCCAGGTAAGATCGAGGCTATAACAGGTCTGTGATGCCCTTAGATGGCCTGGGCTGCACGTGTGCTACAATGACTCTAGCAACAAGCCTACATTTCGAAAGAAATGTAAAATCACGAAAATAGTGTCGTGTTAGGGATTGAGTTTTATAATTTTGGCTCATGAACGAGGAATTCCTTTGCAAGTATAGTTCATAATACTGTGCTGATTGTCCCTGCCCTTTGTACACACCGCCTGTCGCTTCAACCGATTGGATGATCCGGTGAATTCTGTGGACATTTTATATTGGCATTCCGCCTTTAGAAATGGAAGCGGAATAAGCCTTGTCATCTAGAGGATGAAGAAGTCGTAACACGGTATCCGTAGGTGAACCTGCGGATGGATCATTAAAAAAGTGTTTAGAAATTAATACATCATCTGAAGGATTTAGGCATTGACAGACATTAAACATACCTATTTAAAGTTCAGCTGATGGATTAATGGTTTGCAGTTTGATGAAAGACGTGTCAGCTCGCAGTATGGGTGCCGATCTGAGCATTTTCGAAAAGCATCATTTCTGAATGTATTGCACTCGTTAGAGTACAGTTAGATCAGTGTTTGCGTCTTTGACGTACGAGCGGTTCAAATTCCAGTAATCGTGGAATTCCAAAACTCTCTAAGTATTAACGAATGTTGTTACCTAGAGCAGATATCTAATTGAACCTGATCTAATTGAAGCTACCCCTCTGAAGCATATAATTAAGAGGAGGAAAGGAAAACAACAGTGACATCCTGACCATCCATGAATCATTGCTTGCAATGACATGTGTGGATCGATAGCGGAGCGGGATTCGATTAGTTGTTGAGGTGGAAGACTCAACTGAAATGGTGATAGACCTGTTTCTAAGAAGAGAACGCAACGTTATGGACTAGACAGTTATGCTGTCAACTCAGGAACTGGTGTGGACCAGAGGAATCTGACTGTTTAATTAAAACAAAGCATTATGATAGGCTTTACTGCTGTTGACATAATGTTATTTCTGCCCAGTGCTCTGAATGTCACGGTGATGAGATTCACTTAAGCGCGGGTAAACGGCGGGAGTGTCTATGAATTTTGGCGTAGCCAAATGCCTGTCATCTAATTAGTGACGCGCATGAATGGATTAACGAGATTCCTACTGTCCCCATCTGCTATCTGGCGAAACCACAGCCAAGTGGAACGGGCTTGGCATGATAAGCGGGGAAAGAAGACCCTGTTGAGCTTGACCTAGTCTGATATTGTGGAATAACCTATGGGGTGTAGCATACGTGGGAGGGCTTGCCCGACAGTGAAATACCACGACCTGTAGCGTTGTTCTGCTTACCTTTAAATGGTGCAGCTCTGTAAAGAGTTGGATGAATGTCGGTTGATAACTCACATCAAAGTGGACATTGTCAGATGGGAGTTTGGTTGGGGCGGAAAGACTGCTAAATTGCAACGCAGATGTCCAAAGGTTGACTCAGAGAGAACAGAAATCTCTCGTAGACTAAAAAGGGGAAAAGTCAGCGATCTAGGAATTTATTACGATTATGAACTACGTGAAAGTATGGCCTATCGATCCCTTTAAAATCCAGAACAGTTCTGGTTAGAGGTGACAGAAATACCACAGGGATAACTGGCTTGTGGCAGCTGCGCACCATAGCGACGTGATCCTTCGATGTCGGCTCTTCCTATCATTGGGACGCAGAAGTCTCAAGTGTCGGATTGTTCACCCGTTTATAGGGGAACGACCGTCGTGAGACAGG</t>
  </si>
  <si>
    <t>TCACCTACGGATACCGTGTTACGACTTCTTTCATCCTCTAGATGATAAGGCTCACAACATTTCCTCACGAAGAGCGATGTAGAACAAAGCAGCTACGTAAGTCCATGTAATTTGCCGGATCATCCAATCGGTTGAAGCGACGGGCGGTGTGTACAAAGGGCAGGGACGTAATCAGCACAAGGTGATGACTTGTCCTTACCAGGTAATCGTTCATATATTCCATAATTGCAAAGGTCAACTCATCACGACGGAGTTTCACAAGATTCTGCCCGTACGGAGTAGGTAGAGTCGCTGACTCCGTCATTGTAGCGCACGTGCAGCCCAGGCCATCTTAAGGGCATCACAGACCTGTTATAGGCTCGAACTTCCTTGTGATAGTCTCACAAAGTCCCTCTCATGAAGCCAATCGCTTACAGAAGTAAACGAAGGCTAGTTAGTAGGTCGAGGTCTCGTCCGTTATCGGAATTAACTTCAGACAAGTCACCTCACCGACTAAGAACGGCCATGCACCACCACCTCCATAGAATCGAGAAAGAACTCTCAATCTGTCAATCATGACTATGTCCGGGCCCAGGAGGTTCCCGCGTTGGACAATTAAGCCGCAGGTCCACTTGCGGTGCCCTTCCGTCAATTCCTTTAAGTTTCAGCCTTAATTGCCTCCCCCTAGGCCCAGAGACTTAGATTTCCTTGGAGTGCCGAAGGAGTCGCATTTGTACAGCCTCCGATCCTCAGTCGGCATAGTTTATAGTTGGGACTAGCGACGGTATCTAAGCGTCTTCGATCCCCAACTTTCGTCCTTTTGATTAACAGGCACACACTGGGGCAATGCTTTCGCACTTGTTTGTCTTTCTGCTGGTTCAGAATTTCACCTCTCTTCCAGCAAGTACAGATGCCCCGTATGTCCTTATCAACCATTACTTGTGTTCCACGTCACTAACAAGGAGGATCAAGGTCTCATATTGTTATTCCATGCTGAGCTGTTTGCTTATAGCCTGGTTGGAGCACCTAATCGTTTCAAGTAACAGAGCGGTACAGCCGAAGCTATCCCACCCGAGTCCGAAACAGAAAGCGCACTGACTAACACGAAGTCAGACAGGCGTCTCTCCGATTTGGACGAAATCCAACTACGGACGCTAACGTATAATTTTAATATACGCTATTGGAGCTGGAATTACCGCGGCTGCTGGCACCAGACTTGCCCTCCAATAGGTACTCGCAAATAGTTTTGTCTTCCGGGCTCATTGCACCTACAGAACCGAAAGTCCTGAGTTGCTATTTCTGGTCACTACCTCCCCGTATCGGGATTAGTAATTTGCGCGCCTGCTGCCATCCTTAGATGTGGTAGCCGTCTCTCAGGCTCCCTCTCCGGAATCGAACCCTTAATTCCCGTTACCTGTCACAGCCCGGTAGGCCAATACCCTACCGACGGAGCTGATAGGTCAGAAACTCGAACGAATCCGTCGCAAGATGCGATCCGCTCGGTCATTATGATCACCAAGAACAGGTCCGAAAACCTGATGGTTCCAAATGCTAATGAATGCCACCCTTCTACGAAGTCGGGTGTTTTTTGCATGTATTAGCTCCAATTACCATGGATATCCATTGGTAAATGACTTTTATCAATCGTTGTATCGAGCTATTCGCAGTTTTGCCGTATAAAAGCTTATACTTAGACTTGCATGGCTTAATCTTTGAAACAAGCATATGATCACTGGCAGCCTTTAGATGACCTTGGGCCATACACGTGCTACAACGGATGGTACAACGAGTTGCGAACCGCGAGAGTAAGCTAATCTCTTAAAGCTTCTCTCAGTTCGGATTGTAGGCTGCAACTCGCCTACATGAAGCCGGAATCGCTAGTAATCGCGGATCAGCACGCCGCGGTGAATACGTTCCCGGGTTTTGTACACACCGCCCGTCACACCACGAGAGTTTGTAACACCCGAAGTCGGTGTGTAACTCTTTTGGAGCCAGCCGCCTAAGGTGGGATAGATGATTGTAAGAAGCCGTAATAAGGTAGCCGTATCGGAAGGTGCGGCTGGATCACCTCCTTCTAAGGAATCAGTCATATCTAAGATGAACGTTACGGAAACTACACAGGCTTGCTTTTATTCGTTCAGTTTTGAGAGGTTTACTCAAATCGTCTACGAAAAACTGATATAGAAACAATAATTTAAACAAACCGAGAACAATCGCGTGCTGAATGAGTTTTTAATAAGTTCAATTTATTTATTACTAAAGAACATGATCGCTCATGGGAATTAGTGGTGCACCCTTTGACGAAAGTCAAGATAAGGTTATGAATAAGGGCGCACGGTGGATGCCTTGGCAGCTCAGGATTGATGAAGGACGGGACTACCACTGATATGCTTCGGGGAGCTGTAAGTGTTTTTGACTGGAGATTTCCGAATGGGGAAACCCAGCAATTTTTATAGGATGTTACTTTTCAGTGAATACATAGCTGATTAGAGTGTGTAGACGCAGAGAACTGAAACATCTAAGTACCTGCAGGAAGAGAAAGAAAATCGATTCCCTGAGTAGCGGCGGATGAAACGGAAAAGCCCAAACCAAGAGGCTTGCCTCTTGGGGTTGTAGGGATCTGATATGGTAGTTCAGGGAGATAGTCGAAGGACTCTGGAAAGGTCTGCTAGAAAGGGTAAAAGCCCCGTAGACAATTTGACTGGCACCTAGGAGGATCCTGGAGTACGGCAGGAACACGAGGAATTCCGTCGGAATCCGGGAGGACCACTTCCCAAGGCTAAATACTCCCTAGTGACCGATAGTGAACCAGTACCGTGAGGGAAAGGTGAAAAGCACTCCCGGAAGGAGTGAAATAGATCCTGAAACCGTGTGCCTACAACAAGTTAGGAGTCCGCTGTTAATGGGTGATAGCGTGCCTTTTGTAGAATGAACCGGCGAGTTACGATTACTTGCGAGGTTGTTGAAAGATGGAGCTGCAGCGAAAGCGAGTCTGAATAGGGCGAATGAGTAAGTGGTCGTAGACCCGAAACCATGTGATCTACCCGCGTCTGAAGGAGCTGCGCGGTAAAACGCACTGGAGGACTGAACCCACGTACGTTGAAAAGTGCGGGGATGAGGTGGGTAGCGGAGAAATCTCTTCCAAACGAACTTGGAGTATATTGGTTCTCTCCGGGAAATAGCTTTAGGGCTAGCCTCAGAGTAAGAATGATGGAGGTAGAGCACTTCGTTTGGACTAGGGCCCATCTCGGGTTACTGAATTCAGATAAACTCCGAATGCCATCCATTCATCTCTGGGAGTCAGAATTTCGTGAGTGATAAGATCCATAGTCGAAAGGGAAACAGCCCAGACCATCTATG</t>
  </si>
  <si>
    <t>GTATCCGTAGAATCCCAGATGGATCATTCCTGTTTAAACAACAACTAACCTAAGCACTCAATGTTAATACGACTTAAATCATTGAATAATGAGAATTAAAACTCGTGCCGATGGATGACTCGACTCTCACACTGAGGAAGGACGCAGCAAACCGCGATGTTGTGCATGATTCTTATGAAATTTCATCTTACCAGATCTCTGAACGCAAAGGTACTTCTGGCTCGGCCTGAAGTATGTTTGGCTCGGTATCGGTTAGATTTCTCCAATCACTTGATTGAATGGATGACATACAGTGTCCTTACGGGTTACTGGCTAAATGATGCTACCTGTAAGAACTCATACAGTACGTTGAGGTAATTACAGTAGGCTTTCAAATCATGATCCGAGCTCAAGAAGGCTTTACCGCTGAATTTAAGCATATAATTAAGCGGAGGAAAAGAAACCAACTGGGATTCCTGCAGTAGTGGCGAACGAAGTGGGAAGAGCCCGCGATGTTAATCCGTTTCTGACGGAGTTGTGCATCGAGGTTATAGCTATTGAGAAATCGTGAAGAAGATGCCTGGAAAGGCACGCCAGGAGAAGCTGTGACAGCCCTGTTCTTATTCCAGCCATTCGGCACAGCTTTAATCTAATGAGTCACGCCTTTGGGAGTAGAGCGCAAAATGGGTAAAACTCCATTCACGGCTAGATAACGGTGAGAGATCGATAGCAAACAAGTACCGTGAGGGAAAGCGAAAGAATTTCGAAAGGAGAGCAAAATACCTGAAATCGCTGAGGGGAAGCGGCTGTCCGTGACCCAATGTTTGAGAGATTTCTTCCTCATTACATTACCTGACATCACTTCCGTATGTTATGACTCTGTTGTCGCTTCGGCTATAACTTTGTTCTTAACATCGAGAAGTGTGGTACGCCTTTGCAAAAGTTGTCGAGAGTGGCATGTACAGACGACCCGTCTTGAAACACGGACCAAGGCTAAACGAAAGTGCGAGTGTAAGTGCGTCAAACCAGACGCGTAGTGAAAGCAAAAGCTGTGAATTAATAATGCAACAGCATGACTCTTGTAGTTCGAGCCTGAGCATTGCTTAGACCCTAAGATGGTGACCTATACCCGAGTTGGGGTGCCAGGGGAAACCCTGGTGGAAGCTCGTAGCGATACTGACGCACCGTTCGTCAAACTTGGGCATAGGGCGAAAGACTAATCGAACCATCTAGTAGCTGGTTCCCTCCGGAAGTTTCAGGATAGCTGGGAAGTTAATGATCAGTTAGATCCGCGTTGAATATTTGAGGCCGCATCCCTGCCCCTGACCCATCTTCAAACTTTAATGGCTTGCTACCTTTGCCATTCAGTTAGCTCGGTAGATGAATGATACTTTCCAGTGGGCCAGTTTTGCAAGGCAGGTGAACTGGCGATGAGGGATGCTCCCACGTCTGGTTAAGGCGCTCAACACTTTGCTGATCAGACACCATAAAAGGTGTTGGTTCATTGAAACAGCAGGGCGGTGGTCATGGAAGTTGAAATCCGCTAAGGAGTGCGTGTAATAACTCGTTCGGCCGAATGGACCAGTTCTGAAAATGGATAGCGCCCAAGTGGGTAGTCGATACTAGACCGTCAATGAAATAAGCATTGGCGTGTAGATGGGCGTGGGGTTGCCGAGAAGGCCGATGTAGAAATTTTCTCGGAGCAGCCTCTAGTGCAGATCTTGGTGGTAGTAGCAATTAATCGTAACGAGAACTTTGATGACCGGCGGATAAGGGTTCCGAGAACAGCAATTGTCCTCGGGTTAGTCGGCCCTAAAGGAAAGCTTACTCCTTCAGAGGAGAGGCTTCGCCTCTTGACCTGAAAGGGAAAAGGCTCGCCCCTTTACTAGTTGGTGGGGTTGTGGTAACACAACTGAACTTGGGTTGCCAGGAGTGGAGCCCTGGGGAGCGTTATCTTTGCTCTTTGACAGCACCACTCCTTTTGAATCGGCTTGTCTGGAGAAAAGGATGAAAAGCTGGCATAGTTTCTTACACCTGTTGGAAATCCGGTGCGCTTCTTATTGGCTCTCGAAATCCCAAGGATATTTACTCCACTTTCTAGTCGCACTTAAACCGCATCAGGTCTCCTAGGTTCGCAGCCTCTGGTCGATAGAATAAGGCGGATGAGGGAAGCCGGCAACCAGATCTGTACCTTTGAAAAAGGATTGGCTCTGAGGCCGAGCTTTCAGGACCTAGTGCAAGTACATCATTCTCGCTTTTTCTTTTGAAGCCGCCTTCACAAGTCGGGGTGTAGCAATGAGTGGTGTCCTACTCTAGGAGCTTCGGCTACCCTGTTAAGTAATAACCGGCTAACTCAGAACTGGTACGGACAAGAGGAACCTGAATTGTTTGACGAAATGAAGGCATTATGACAAGCGGCAACGCTTTTTACGCAATGCGATTTCTGCCCAGTGCTCTGAATGTCATTGCGATGAAATTCGCCCAAGCGCGGGGTAAACGGCGGAAAATTTACACTCTTGGCAGAAGCTAAATGCCTCGTCATTTAATTAGTGACGCGCATGAATGGATCGCAATAGATTCCTAATGGTCCTCATCTTGCCATCTAGCGAAACCACAGCCAAGGGAACGGGCTTTGCAACAAGCGGGGAAAGAAGACCTGTTGAGCTTCTGACTCTAGCTCTGACTTTTGTGGAGGATTCTGGGGGTGTAGCATACGTGGGAGCTTCGGCGACAGTGAAATACCACGACCTCCACTGTCGCCTCTACTTACTTCGTCACAACGAATCACGTTTACTTACGTGTTCTAGATTTAAGGCTTTTACCGATCGTATCAGAGGACATATTCAGATGGGGAGCTTGGCTGGGGGCGGCACATCTGCTAAACTGCAACGCAGATGCCTCAAGGTTGACTCAGAGAGAATAGAAATCTCTCGTAGACTGAAAGGGGAAAAGTCAGCTTGATTCTGATTTCCAGTGCGAATACGAACTGCGAAAGCATGGCTCATCGATCCTTTAAGTCCAGAAAGGTTCTGGCTAGAGGTGACAGAAAAGTTACCACAGGGATAACTGGCTTGTGGCAGCCAAGTGCCTGAAGATGTTTATCCTTCGATGTCGGCTCTTTCCTATCATTGAGACGCAGAAGTCTCAAAATGTCGGATTAATCACCCGCCATTAGGAACGTGAGCTGGGTTTAGACTGTCGAGACAGGTCCTCAAGACATCTAAGGGCATCACAGACCTGTTATAGGCTCGAACTTCCTTGTGATAGTCTCACAAAGTCCTCTTCATAGCTCGGAACGCTAAACAAGATAACGTTGGCTAGTTAGTAGGTCGAGGTCTCATCCATATCGGAATTAACCAGACAAGTCACCTCACCGACTTTTCAAGAAACGGCCATGCACCACCACCCATAGAATCGAGAAAGAACTCTCAATCTGTCAATCATGACTATGTCCGGGCCTGGTGAGGTTCCCGCGTTGAGTCACCTTGCCGCAGGCTCCACTCCTGGTGGTGCCCCGCCCGTCAATTCAGGTGCTGTCGATTCCGTTTGTAGTCGTCTGTTTAACCTTTAGCAATACGTAACTGA</t>
  </si>
  <si>
    <t>NG_064991.1</t>
  </si>
  <si>
    <t>GACATCGAAAGTAGGCAATTAGATGGACGAATCCCTCACGAGGCACGTCGCACTCCACGCGCAAGGGTATAGAGTGATAGATGAGTGGCCATTTTACACACAGGCAATTCCAGCGCCCGCCGAGGACCACAAAATATTGAAAAGAAGTGTCATTCATGCATTATTTTTGGTTGTTTCTTTACACACAAAGATGTCAGTTTCACTGCTGAGACAGGTCGTGGTGATGCGTGTTAGCAAGAATCTCGGCCGTAAATTACCGTTCTTGGAATACACTATGTTTGTTTTGTGTCAATCTTGATGTGAGAGATAGCTCTCGTACGTAGAAAATAGCATATTTTTGTCACAAAACATATATTTTGCGAGGAATTCGAAAGGTAAAATAAAAGGAGGCATTAGTCGCCCAGGCACACGTTTTATGTTTATTAAAACTTTATAAAAAGTTGAAAGTAACCAATAATTAATATTTTGAAATTGTAATTTGCCTACAATATTTTAAAATCACAGCTTCTTTCACTTCTTGGGGTCTCTTTAAACATTCACGAGTGGAGAGTGTGCTAGTTGTAGGTGCTGTCGATTCCGTTTGTAGTCGTCATTGCTTAGCAATACGTAA</t>
  </si>
  <si>
    <t>CAGATCCCCGGAGCCGGCCTGGTAAATCAGCAATCGCCATCCGCCAGTGTCCCCGCAGAACCTATACTCTCCGCGCCGCTGCGGTTCAGCGACGACGATAACCTGCTGGTGCGTACGCGTGCTGGGTCATAATATTGAAATCGAGACCGCGTCCGCTAATGCCTGCTGGCAAGGAGCGTATTGCCGGCAAAAGCCCATGGCTGCCAGAGCATCAGGCGCCGAGCAATATTGTCGCCCTGCAGCGCCACAGCGGCTGGCCCTCAAGAAGGGGCGCGATGACCCGGTTAACGCTGGGAAAAGGAGAAAACGGGCCATCCTTTTCCAGCGGAAGCGATACTGGCGCGCTGGCGGTGTTCTGGCGTTCCGGCGAGGCAACGCTGACACCGCGTTTCACCGCCGTTTTTCCACGGCGTTCCGGCAGGTAAAACCAGTCCGGAACACCACCGTGTTCTTCGCCTCGATTATTTAATGTCTTTACGCCAGGCATCGGCGGTCAGCGCCTCGCCGAAATGGCCGGCAATCAGACGTTTTGTCAGGATCGCGCAGCGGAGTATAAGCCAGTACGTCGGCGGTGCCGTTGCCCGACCACTTCACCCCAGCGCATCACCAGCACCTGATCGCTGATGTGCTTCATCATGCCCAAATGCTGGGTAACGTAAATGTAGGAGATACCCTGTTTTCCTGCAGCTCCAGCATCAGGTTAATCAGTTGAGAGCGCATTGACATATCCAGCGACGCCAGCGCTTCACGCAAGACGCACACCTGCTCGGCAGTAGATCGTACCGTGCGCCAGGCCCAGACGCTGTTTTTGCCCGGTGCCAGCATATGCGGATAGGGGCGAAGCTTGACGGTCAGGCAGAATCAACCTGGTG</t>
  </si>
  <si>
    <t>GGTATTACTTCGTTCGATTTACGTATTGCTAAGGTTAAACAGACGACTACAAGCAAATCGACAGCACCTCGGTAATTCCAGCTCCAATGGCGTATATTAAAGTTGTTGCAGTTAAAAAGCTCGTAGTTGAACCTTGCTTGGCTTGGTTAGCTGGTCACCTTTTGTGATACTAGATGGCAAATATTTTCCTTCTGTTAGCCTTTCGCCCTTGTGGTGTTTGGCGAACCAGGACTTTTACTTTGAAAAAATTAAGAGTGTTCAAAGCAGGCCTTTGCTCGAATATATTAGCATGGAATAATAGAATAGGACGTTATGGTTCTATTTTGTTAGTTTCTAGGACCATCGTAATGATTAATAGGGACGGTCGGGGGCATCAGTATTCAGTTGTCAGAGGTGAAATTCTTGGATTACCTGAAGACTAACTTCTGCGAAAGCATTTGCCAAGGACGTTTCATTAATCAAGAACGAAGTTAGAGGATCGAAGATGATCAGATACCGTCAATGATCTTAACCTCGGCCCCCAACCTTGACTAGGGATCTGGTGTGTTCTTTTGACGCACTCGGCACCTTTGAAAATCAAAGTCTTTGGGTTCTGGGGGAGCGCGTCGCGGGCTGAAACTTAAAG</t>
  </si>
  <si>
    <t>Mycolicibacterium novocastrense</t>
  </si>
  <si>
    <t xml:space="preserve">CP097264.1	</t>
  </si>
  <si>
    <t>Klebsiella oxytoca</t>
  </si>
  <si>
    <t>CP070144.1</t>
  </si>
  <si>
    <t xml:space="preserve">Debaryomyces hansenii </t>
  </si>
  <si>
    <t xml:space="preserve">EF061756.1	</t>
  </si>
  <si>
    <t>GGTATGCTTCATAGTTGCTAAGGTTAAACAGACGACTACAAACGGAATCGACAGCACCTGATCCTTCTGCAGGTTCACCTACCGTGTTACGGCTTCTTCATCCTCTAGATGATAAGGCTCACAACATTTCCTCACGAAGAGCGATGTAGAACAAAGCAGCTACGTAAGTCCATGTAATTTGCCGGATCATCCAATCGGTTGAAGCGACGGGCGGTGTGTACAAAGGGCAGGGACGTAATCAGCACAAGGTGATGACTTGTCCTTACTAGAATTCCTCGTTCATGACCCATAATTGCAAGGTCAATCCCTATCACGACGGAGTTTCACAAGATTTCCGCTCCGTACGGGGTAAAGCTCGCTGACTCCGTCATTGTTGCGCCCGTGCAGCCCAGGCCATCTAAGGGCATCACAGACCTGTTATAGGCTCGAACTTCCTTGTGATAGTCTCACAAAGTCCCTCTAAGAAGCCAATCGCTTACAGAAGTAAACGAAGGCTAGTTAGTAGGTCGAGGTCTCGTCCGTTATCGGAATTAACCAGACAAGTCACCTCACCGACTAAGAACGGCCATGCACCACCACCCATAGAATCGAGAAAGAACTCTCAATCTGTCAATCATGACTATGTCCGGGCCTAGTGAGGTTCCCCGCGTTGAGTCAAATTAAGCCGCAGGCTCCACTCCCTGGTGGTGCCCTTCCGTCAATTCCTTTAAGTTTCAGCCTTGCGACCATACTCCCCCAGGGCCCAGAGACTTAGATTTCTCTTGGAGTGCCGAAGGAGTCGTCTTTGACAGCCTCCGATCCTCAGTCGGCATAGTTTATAGTTGGGACTACGACGGTATCTAGCGTCTTCGATCCCCCAACTTTTCGTCCTTGATTAACAGGCACACACTGGGCAAATGCTTTCGCACTTGTTTGTCTTTGCAAGTCTTAGAATTTCACCTCTCTCCAGCGAATACAGATGCCCCCGTATGTCCTTATCAACCATTACTTGTGTTCCGTCACCAACAAGGAGGATCACAGTCCTATATTGTTATTCCATGCATGTTTAAGCTATAGCCTGGTTGGAGCCTCCAATTTGCTCAAAGTAACAGGCGGTACAGCCGAGCTATCCCAGGCCCGAGTCCGAAACAGAAAGTCACTGACTAACACGAAGTCAGGCAGGCGTCTCTCCGATTTGGACGAAATTCAACTACGAGCTTTTTTAACTGCAGCAATTTTAATATACGCTATTGGAGCTGGAATTACCGCGGCTGCTGGCACCAGACTTGCCCTCCAATAGGTACTCGTAAATAGTTTTGTTCTCCTTCCAATCCACGAGAACCAAAGGTCCTGAGTTGCTATTGTCACTACCTCCCCGTATCGGGATTGGGTAATTTGCGCGCCTGCTGCCCTCCTTAGATGTGGTAGCCGTTTCTCAGGCTCCCTCTCCGGAATCGAACCCTAATTCCCCGTTACCCATCACAGCCCCAGTAGGCCAATACCCTACCGACGGGAGCTGATAGGTCAGAAACTCGAACGAACTGTCGCAAGATGCGATCCGCTCAGTCATTATGATCACCAGAACAGGTGCGAAAACCTGGATGGTTCCAATGCTAATGAATGCCACCTTCCGAAGTCGGGTGTTTTTGCATGTATTAGCTCCAGAATTACCATGGATATCCATTTGGTAATGATCTTCGTGTAGATTATAACTGTTGTAATGAGCTATTCGCAGTTTTGCCGTATAAGGCTTATACTTAGACTTGCATGGCTTAATCTTTGAAACAAGCATATGACTACTGGCAGGATTAGATACCAGGGTAGTTCTGGATATATATTACTTGGATATAAGCTAATGTCTCATGTAATATACAACTGTATAAGATCAGACTGACATGCAAATCGAATTATTTTTATTGAGGTTTCATTAAAAATATTTTCAATGTAACTAAAGGTCATCATAGAATACTATGTAAATTACATGAGAAGGTAAAGAAATACGATATTGAATAAATTCTAGAATAATTTGTTGAAACATGAATCGAAGAAAACATTGTCAATCTTGATTTAATTAAATGTATCAGGAACCACGGCGGTCGAGCCAAAATTTATCATCAAAGTAAAGGAATTACAAGTTCCAATACGCAGTAGAC</t>
  </si>
  <si>
    <t>GAAAGCACGGTCTATCGATCCTTTGGCTCGAAGAGTTTTCGGCAAGAGGTGTCAGAAAAGTTACCACAGGGATAACTGGCTTGTGGCGGCCAAGCGTTCATAGCGACGTCGCTTTTGATCCTTCGATGTCGGCTCTTCCTATCATTGCGAAGCAGAATTCGCCAAGCGTCGGATTGTTCACCCGCTAACAGGGAACGTGAGCTGGGTTTAGACCGTCGTGAGACAGGTAGGTGCTGTCGATTCCGTTTGTAGTCGTCTGTTTAACCTTAGCAATACGTAACTGAACGAAGTACAATG</t>
  </si>
  <si>
    <t>&gt;consensus_cl_id_13_total_supporting_reads_3</t>
  </si>
  <si>
    <t>NG_042634.1</t>
  </si>
  <si>
    <t>CCAGCTCACGTTCCCCTATTGAGTGAATTTGAACAATCCAACGCTTACCGAATTCTGCTTCGGTATGATAGGAAAACCGACATCGAAGAATCAAAGCAATGTCGCTATGAACGCTTGACTGCCACCAAAGCCGGTTATCCCTGTGGTAACTTTTCTGGCACCTCTAGCCTCAAATTCGAGGATCTAAAGGATAGAGTAGGCCCGCACTTTCATGGTTTGTATTCACACTGAAAGTAAAAATCAAGGGGGCTTTTACCCTTTTGTTCTACTGGTGATTTCTGTTCTCCATGAGCCCCCTTAGGACTACCGTTATCGTTTAACAGATGTGCCGCCCCAGCCAAACTCCCCACCTGACAATGTCTTCAACCCGGATCAGCCTCTAAAGAGACTTTAATGCTAGAACAGACGATGAAGTCAGCTCCGCTTAATTGAATAAGTAAAAAAACTATAGAGGTAGTGGTATTTCACCGGCGCCGAAGCTCCACTTATTCTACACCCACTATGTCTTTTCACAATGTCAAACCGAGTCAGCTCAACAGGGTCTTCTTTCCCCGCTTCGATTCTGCCAAGCCCGTTCCTTGGCTGTGTTTCCAATAGATAGTAGATAGGACAGTGGGAATCTCGTTAATCCATTCATGCGCGTCACTAATTAGATGACGAGGCATTTGGCTACCTTAAGAGAGTCATGGTGCTCCGCCGTTTACCGCGCTTGGTTGAATTTCTTCTTTGACATTAAGAGCACTGGGCAGAAATCACATTGCGTCAACATCACTTTCTGACCATCGCAATGCTATGTTTTAATTAGACAGTCGAATTCCCCTTGTCCGTACCAGTTCTACCAGTTGATCGTTAAGCGTGCCCCGGACGACTAAAAGTCTACCAAAACCGTCTACAACAAGATCCGACGGCGGTCCGTCCAAGATTGCTCCTGAACGGTCCACCATCAGTTCCGCTGCGTCTGGTAAAGGCCGAACACCCGATCCTTAGAGCCAATCCTTATCCCGAAGATTCCACCCGGATCTATTTTGCCGACTTCCCTTATCACCGTGTCTATCGGCGAGGCTGTTAACCTTGGAGACCTGCTGCGGTTATGAGTACGACTTGGCATGAAAACTATTCCTTCCTGTGGATTTCAAAAGGGACCGTCGTAAGCGCACCCGGATGCAACAAAAGTATTGCCTCACCAGCCATAAGACCCTATCTCCGGATAAATAATTCCAGGGTGATAAGCTGTTAAGAAGAAAAGAGAACTCCTCCCAGGAGCTCGCCGACGTCTCCACATTCACGTTACCGTGAAGAATCCATATCCAAGTTCCGGAATTTTAACCGGATTCCCTTTCGATAGTGACTTGAAAAATCAAGTTCTTTGAAACGGAGCTTCCCCATCTCTTAGGATCGACTAACCCATGTCCAACTGCTGTTGACATGGAACCTTTCCCCACTTCAGTCTTCAAAGTTCTCATTTGAATATTTGCTACTACCACCAAGATCTGCACTAGAGGCCGTTCTACCCAGCTTTACAGCCAAGGCTTCGTCACTGACCTCCGCTGCCTACTCGTCAGGGCATCATATCAACCCTGACGGTGAAGTATAAGTAACGCTTGAGCGCCATCCATTTTCAGGGCTAGTTCATTCGGCCGGTGAGTTGATACACACTCCTTAGCGGACCTTCCGACTTCCATGGCCACCGTCTGTCTAGATGAACTAACACCTTTTGTGGTGTCTGATGAGCGTGTATTCCGGCACTTTAACTTCACGCCGGTTCATCCGCATCGCCAGTTCTGCTTACCAAAATGGCCCACTAAAAGCTCTTCATTCAAATGTCCACGTTCAATTAAGCAACAAGGACTTCTTGCATGTTAAAGTTTGAGAATAGGTTAAGGTCATTTCAACCCCCAATACCTCTAATCATTCGCTTTACCTCATAAAACTGATACGAGCTTCTGCTTATCACAGGGAAACCGGCAGGAACCAGCTACTTAGATGGTTCGATTAGTCTTTCGCCCTACCCAAATTCGACGTGATCGATTTGCGTCAGAACCGCTACGAGCCTCCACCAAGAGTTTCCTCTGGCCCACCCCTATTCAGGCATAGTTCACCATCTTTCGGGTCCCAACAGCTATGCTCTTACTCAATCCATCCGAAGACCGTGGGATCGGTCGATGATGCACTCTTAGGCTCTCTTCGTTCACTTTCATTACGCGGCTGGGTTTTACACCCCAAACACTCGCATAGACGTTAGACTCCTTGGTCCGTGTTTCGCAAGACGGGTGGCAAAGATATTATGCGCTTGTCTAGTCAAAAGACGCAGTCCTCGGTCTAGACGGAGCAGTATCATCAAGGCTATAACACTCCACGAAGTAGAGTACATTCATAAGTCATTATCCTATGCATCCAAACCGATGCTGGCTGATGAAAACGCGAGGAACCTTAAGAAGGAAAGGATCTGTAAAATACCAAGTCTGATCTGAAGCCCTTCCCTTTCAACAATTTCGTACTTTTTCACTCTCCGTTCAGTTGTTTCGTCGCTGATAATATGTACTTGTTCGCTATCGGTCTCTCGCCAATATTTAGCTTTTAGATGAATTTACCACCCACTTAAAGGCTGCATTCCCAAACAACTCGAGCTCTTCAGCACTTTATAGAATTGGGCATCTCATCGCGGGATTCTCACCCTCTGTGACGTCTGTTCAAGGAACATAGACAGAAACCCAGCTCCAAAAGTTACCTTCTTCAAAATTCACAACTCGGATGCCAGAAGGTGCAGATTTCAAATTTGAGCTTTTGCCTAACTACTCGCCGTTACTAGGCAATCCCTGTTGGTTTTCTTTTCCTCCGCTTGATATGCTTAAGTTCAGCGGGTAATCTACCTGATTTGAGGTCAAACTTGTTTGTTATATTATGAGCCGAGCCTTTCATCCGAGAAATATACCATTAAACTATTCAACGAGTTGGATAAACCTATTACATTGAAGAAGTCATATAGCACTATCCAGTACCGCTCTATTGTACATTTCAAGCAAACCTAGTTCGACTAGTATGCTCAATACCAAACCCAAAGGAGTTTGAAATGACGCTCAAACAGGCATGCCCTCTGGAATACCAGAGGGCGCCGTATCGCATTCAAAGATTCGATGATTCTAGAAATCTGCAATTCATATTACTTATCGCATTTCGCTGCGTTCTTCATCGATGCGAGAACCAAGAGATCCGTTGTTGAAAGTTTTGAAGATTTTTTGAATTTAATCCAACAAATTGACAATTAAATAAATAACAATTCAATATAAATATTGAAGTTTAGTTCGATAAACCTCTGGCCCAAACTATTTCTAGTCCCAGACCAAAGCAAAGTTCTTGTAATAACAAGAAACTTGCTGTGTCGCAGGTTTTTTCGCCGCGCAGTTAAGCGCTGGCAAAAGAATACTGTAATGATCCTTCCGCAGGATTTCACCTACGGAAACCTTGTTACGACTTTTACTTCCTCTAAATGACCAAGTTTGACCAGCTTTTCGGTTCAAGATGGAGTTGCCCCCTTCTTTAAACCAATCCGGAGGCCTCACTAAAGCCATTCAATCGGTAGTAGCGACGGGCAGCGGTGTGTACAAGAGACAGGGACGTAATCAACGCAAGCTGATGACTTGCGCTTACTAAGGAATTCCTCATTTGAGAAGAGCAATAATTACAATGCTCTATCCCCAGCACGACGGAGTTTCACGTTTTAGACCTCTCCGGCCAAGGTTAATACTCGTTGGCTCCGTCAGTGTAGCGCGCGTGCGGCCCAGAACGTCTAAGGGCATCACAGACCTGTTATTGCCTCAAACTTCCATCGACTTGAAATCGATAGTCCCTCTAAGAAGTGACTAACCAGCAAAGCTAGCAACACTATTTAGTAAGAGTTAAGGTCTCGTTCGTTATCGCAATTAAGCGAACAAATCACTCCACCAACTAAGAACGGCCATGCACCACCACCCACAAAATCGAAGAGCTCTCGATCTGTCAATCATATTGTGTCTGGACCTGGTGAGTTTCCCGTGTTGAGTCAAATTAAGCCGCAGGCTCCACTCCTGGTGGTGCCGCTTCCGTCAATTCCTTTAAGTTTCAGCCTTGCGACCATACTCCCCCAGAACCCAAAGACTTTGATTTCTCGTAAGGTGCCGAGTGCGTCAAAAAGAGCAACACCGATACGTCGGCATAGTTTATGGTTAAGACTACGACGGTATCTGATCATCTTCGATCACTAACTTTCGTTCTTGATTAATGAAAACGTCCTTGGCAAATGCTTTCGCAGTAGTTAGTCTTCAAGGTAATCCAAGGTACCTCTGACAACTGAATACTGATGCCCCCGACCGTCCCTATTAATCATTACGATGGTCTAAACCAACAAATGAACCGCAACGTCTATTCTATTATTCCATGCTAATATATTCGAGCAAAGGCCTGCTTTGAACACTCTCTAATTTTTTCAAGTAAAAGTCCTGGTTCGCCAAACACCACAAGGGCGAAAGGTTAGCCAGAAGGAAAGGCTCGGTTGGGTCAGTACTCGCCAAAAGGCGGACCGGCCAACCAAGCCCAGGACAGCTACGAGCTTTTTAACTGCAGCAACAATATACGCTATTGGGCTAGGTGCCGCGGCTGCTGGCACCAGACTTGCCTCAATTGTTCCTCGTTAAGGTATTTACATTGTACTCATTCCAATTACAAGACCCGAAGGGCCCTGTATCGTTATTTATTGTCACTACCTCCCCGTGTCGGGATTGGGTAATTTGCGCGCCTGCGCCCTTGGATGTGGTAGCCGTTTCTCGGGCTCCCTCTCCGGAATCGAACCCTTATTCCCCGTTACCCGTTGAAACCTTGGTAGGCACTGTCCCTACCATCGAAAGTTGATGGGGCAGAAATTTGAATGAACCATCGCCAGCACAAGGCCATGCGATTCGAAAAGTTATTATGAATCATCAAGAAGCCGAAAAGCATTGATTTTTATCTAATAAATACATCCCTTCCAAACAGTCGGGATTTTTAGCATGTATTAGCTCTAGAATTACCACGGTTATCCAAGTAGTAAAAGGTACTATCAAATAAACGATAACTGATTTAATGAGCCATTCGCAGTTTCACTGTACAAATTGCTTATACTTGGAGCATGCATGGCTTAATCACGAAACAAGCATGCGACTGCTGGCAGACGTAACT</t>
  </si>
  <si>
    <t>GQ458025.1</t>
  </si>
  <si>
    <t>TTAAGCCATGCATGTCTAAGTATAAGCAATTTATACAGTGAAACTGCGAATGGCTCATTAAATCAGTTATGATCTACGTGACATATTCTTTACTACTTGGATAACCGTGGTAATTCTAGAGCTAATACATGCAAAAAAGCCCGACTTCGGAAGGGTGTATTTATTAGATAAAAAATCCAAGCTTTACCGGTGGTTTTTGGTGATTCATAATAATTTAGCGATCGCATGGCCTTGTGCTGGCGACGGTCCATTCGATTTTCTGCCCTATCAGCTTGCGATGGTAAGGATAGTGGCTTACCAATGGCTACAACGGGTAACGGGAATTAGGGTTCGATTCCGGAGAGGGAGCCTGAGAAACGGCTACCACATCCAAGGAAGGCAGCAGGCGCGCAAATTACCCAATCCCGACACGGGAGGTAGTGACAAATAACAATGCAGGGCCTTTAGGGTCTTGCAATTGGAATGAGTACAATGTAAATCCCTTAACGAGGATCAATTGGAGGGCAAGTCTGGTGCCAGCAGCCGCGGTAATTCCAGCTCCAAAAGCGTATATTAAAGTTGTTGCAGTTAAAACGTCCGTAGTCGAACTTCGTCTTTGGCTAGGTGGCCTGGTCATTCATTGGTCAGAGTTTTAGCCGAGTCTTTAGTTCTGGCTATGACATTTTGGCTTGTTGAGGTGGTTCTCTACCCAAGCGTATTACCATGAAAAAATCAGAGTGTTCAAAGCAGGCCTTGCTCTGAATATGTTAGCATGGAATAATGAAATAGGACGTTAGTCTATTTGTTGGTTCTGACCTTGAAATGATGAATAGAACGGTTGGGGGCATTTGTATTTGGTCGCTAGAGGTGAAATTCTTGGATTGACCGAAGACAAACTACTGCGAAAGCATTTGACCAGGACGTTTTCATTGATCAAGGACTAAAGTTAGAGGGATCGAAGACGATTAGATACCGTCGTAGTCTTAACCACAAACTATGCCGACTAGGATTGGTTCCTCGGACTCGCTCAGCAGCTTAGCGAAAGTAAAGTTTTTGGGTTCTGGGGGAGTATGGACGCAAGGCTGAAACTTAAAGGAATTGACGGAAGGGCACCACCAGAGTGGAGCCTGCGGCTTAATTTGACTCAACACGGGGAAACTCACCAGGTCCAGACATAATAAGGATTGACAGATTGAAAGCTCTTTCTAGATTTTATGGGTGGTGGTGCATGGCCGTTCTTAGTTCGTGGAGTGATTTGTCTGGTTAATTCCGATAACGAACGAGACCTTATTCTGCTAAATAGGTGGGCCAACTTTTTAGTTGGTAGTTAGATTTCGGTCTACTTCTTAGAGAGACTACCGACTCAATTCGATGGAAGTTTTAGGCAATAACAGGTCTGTGATGCCCTTAGATGTTCTGGGCCGCACGCGCGCTACACTGACGAAGTCAACGAGTTTATTTTAACCTTGGCCGGAAGGTCTGGGAAACTTTTGAAACTTCGTCGTGCTGGGGATAGAGCATTGTAATTATTGCTCTTCAACGAGGAATTCCTAGTAAGCGCGCAAGTCATCAGCTTGCGTTGATTACGTCCCTGCCCTTTGTACACACCGCCCGTCGCTACTACCGATTGAATGGTCATAGTGAGCATTCGGATCTGAAGGCTAGTTGGCAACAACCGGCTTCTTGCGGAGAACTATGGCAAACTAGGTTATTTAGAGGAAGTAAAAGTCGTAACAAGGTTTCCGTAGGTGAACCTGCAGAAGGATCAGGTGTGGAGTCTTGTGTCCCAGTTACCAGGTTAACCTTAGCAATACGTAACTGAACGAAGTACA</t>
  </si>
  <si>
    <t>&gt;consensus_cl_id_5_total_supporting_reads_3</t>
  </si>
  <si>
    <t>CGTGTACTTCGTTCAGTTACGTATTGCTAAGGTTAACCTGGTAACTGGGACACAAGACCCAGCACCTGATGATCCTTCTGCAGGTTCACCTACGAAACCTTTGTTACGACTTTTACTTCCTCTAAATGACCAAGTTTGACTAGTTGATAGTTGCCCCTTATATTGATAACCGTGGTAATTCTGGAGGCCTCACTAAGCCATCAATCGACGTTTGGACGGGAGGTGATTACAAAAGGGCAGGGACGTAAACAATCGATGCTTTTCGGATGCTCGTTGATGATCAATAATTACAATGCTGGCCTTCTGCGCGACGGAGTTTCATTCAAATTTCCCTTACCTCTCGGGCAGGGTTAATACTCGTTGGCCTCCGTCGATTCAACGGGTGCGGGGAACGTCTAAGGGCGATCAGAGGGACCTGGTAACGGCTCAAACCTCCATCGGCTTGCAAATCGATACCCTCCTAAGGGGAGGCTAGTGCCGCAACAACGATACAGGGCCATTTCGGGTCTTTAAGGTCTGTTCGTTATCGCAATTAAGCAGACAAATCACTCCACGAACTAAGAACGGCCATACACCACCACCCAAAAATCAAGAAAGAGCTCTCAATCTGTCAATCCTTATTTGTCTGGACCTGGTGAGTTTCCCGTGTTGAGTCGGATTAACCGCAGGGCTCCACGCCTGGTGGTGCCCTTCCGTCAATTCCTTTAAGTTTCAGCCTTGCGACCATACCCCCCAGAACCCAGGACTTTGATTTCTCGTAAGGTGCCGAGTGGGTCAAAGCATCCCGATCCTAGTCGGCATAGTTTATGGTTAAGACCACGACGGTATCTGATCATCTTCGATCCCCTAACTTTCGTTCTTGATTAATGAAAACGTCCTTGGCAAATGCTTTCATGTAGTTAGTCTTCAGCAATCAAGAATTTCACCTCTGACAACTGAATACTGATGCCCCGACTGTCCTATTAATCATTACGATGGTCCTAGGAACCAACAAAATAGAACCATAACGTCCTATTCTATTATTCCATGCATATTAATATATTCGAGCAAGGCCTGCTTTGAACACTCTAATTTTTTCAAAGTAAAAGTCCTGGTTCGCCAAACACCACAAGGGCGAAAGGTTCCCAGAAGGAAAGGCTCCGGTTCGGTCCAGTACTCGCCAAAAGGCGGACCGGCCAACCAAGCCCAAGGTTCAACTACGAGCTTTTTAACTGGGTAACAACTTTAATATACGCTATTGGAGCTGGAATTACCGCGGCTGCTGGCACCAGACTTGCTCCTCCGGTGTTCCTCGTTAAGGCATTTACATTGTACTCATTCCAATTACAAGACCCGAAAGGGCCCGTATCAGTTATTTATTGTCACTACCTCCCCGTGTCGGGATTGGGTAATTTGCGCGCCTGCTGCCTTCTTGGATGTGGTAGCCGTTTCTCAGGCCCCTCTCGGAATCGAACCCTTATTCCCCGTTACCGCTGAAACCACCGTAGGCCACTATCCTACCATCGAAAGTTGATAGGGCAGAAATTTGAATGAACCATCGCCAGCACAAGGCCATGCGATTCGAAAAGTTATTATGAATCATCAAAAGGCCCGAAAGCGTTGATTTTTTATCTAATAAATACATCCCTTCCAAACAGTCGGGATTTTTAGCATGTATTAGCTCTAGAATTACCACGGTTATCAAGTAGTAAAGGTGCTATCAAATAAACGATAACTGATTTAATGAGCCATTCGCAGTTTCACTGTATAAGTTGCTTATACTTAGACATGCATGGCTTAATCTTTGAAACAAACATATGATTACTGGCAGCCAAGATGTCTAAGGGCATCACAGACCTGTTATTGCTCAATCTTCCGTCGGCTCGAGGCGTCCAGTCCCTCTAAATTTTAAGTATCGTCGCCAGTGAGTTGCGCGACACGGATGCCGCGCACCTAAAGGCGAGCCTATAAGGTTAGGGTCTCGTTCGTTATCCGCAATTAACGCCAGACAAATCCTCCCCCAACTAGAACGGCCATGCCACCACCCACCGAATCAAGAAAGGCTGTCAATCTGTCAATCCTTATTGTGTCTGGACCTGGTGAGTTTCCCGTGTTGAGGTCAAATTAAGCCGCAGGCTCCACTCCTAATTAATTTGCCCTTCCGTCAATTC</t>
  </si>
  <si>
    <t>&gt;consensus_cl_id_9_total_supporting_reads_1</t>
  </si>
  <si>
    <t>ACCGTGTTACGACTTCTTCATCCTCTAGATGATAAGGCTCACAACATTTCCTCACGAAGAGCGATGTAGAACAAAGCAGCTACGTAAGTCCATGTAATTTGCCGGATCATCAATCGGTTGAAGCGACGGGCGGTGTGTACAAAGGGCAGGGACGTAATCAGCACAAGGTGATGACTTGTCCTTACTAAATTTCCCTCGTTATGACCCATAATTGCAAAGGTCAATCCCTATCACGACGGAGTTTCACAAGATTTCCGCCCGTACGGAGTAGAGGGTAGAAACTCATGACTCCATGTTCAGCACACGTGCAGCCCAGGCCATCTAAGGGCATCACGAACCTGTTATAGGCTCGAACTTCCTTGTGATAGTCTCACAAAGTCCCCTCTAAAAGCCAATCGCTTACGAAGTAAACGAAGGCTAGTTAGTAAGTCGAGTCTCGTCCGTTATCCGGAATTAACCAGACAAGTCACCTCACCGACTAAGAACGGCCATGCACCACCACCCATAGAATCGAGAAAGAACTCTCAATCTGTCAATCATGACTATGTCCGGGCCTGGTGAGGTTCCCCGCGTTGAGTCAAATTAAGCCGCAGGCTCCACTCCTATTAAGTGCCCTTCCGTCAATTCCTTTAAGTTTCAGCCTTGCGACCATACTCCCCCAGGGCCCAGAGACTTAGATTTCTCTTGGGTGCCGGAAAAGGGAGTCGTATTTGTACAACCTCCGATCCTCAGTCGGCATAGTTTATAGTTGGGACTACGACGGTATCTAAGCGTCTTCGATCCCCCAACTTTCGTCCTTGATTAACAGGCACACACTGGGCAAATGCTTTCCTTGTTTGTCTTTGCTGGAGTCTTAAATTTCACCTCTCTCCAGCAAGTACAGATGCCCCGTATGTCCTTATCAACCATTACTTGTGTTCCACGTCACCAACAAGGAGGATCACAGTCCTATATTTTGTTATTCCATGCTGAGCTGTTTAAGCTATGGCCTGGTTGGAACGCCAATTTGCTCAAAGTAACAGAGCAGTACAGCCGAAGCTATCACCCGAGTCCGAAACAGAAAGTGCACTGACTAACACCACGAAGTCAGACAGACGTCTCCGATTTGGACGAAATCAACTACGGACGCTTTAACTGCAACAATTTTAATATACGCTATTGGAGCTGGAATTACCGCGGCTGCTGGCACCAGACTTGCCCTCCAATAGGTACTCGCAAATAGTTTTGCTCGCTCATTGCAATCACAGAACCGAAAGGTCCTGAGTTGCTATTTCTGGTCACACTACCTCCCCGTATCGGGATTGGGTAATTTGCGCGCCTGCTGCCGTACTTAGATGTGTTGCCGTCTCTCAGGCTCCCTCTCCGGAATCGAACCCTAATTCCCCGTTACCCGTCACAGCCTCGGTAGGCCAATACCCTACCGACAGGAGCTAGATAGGTCAGAAAACTCGAACGAACTGTCGCAAGATGCGATCCGCTCGGTCATTATGATCACCAAGAACAGGTCCGAAAACCTGGATGGTTCCAATGCTAATGAATGCCACCCCTTCTACGAAGTCGGGTGTTTTTGCATGTATTGGCTCAGAATTACCATGGATATCCATTTGGTAATGATCTTCGATTGTGAATATAACTGTTGTAATGAGCTATTCGCAGTTTTGCCGTATAAAAGCTTATACTTGAACTTGCATGGCTTAATCTTTGAAACAAGCATATGACTGCTGGCAGGAATTGACGGAAGGGCACACCAGGAGTGGAGCCTGCGGCTTAATTTGACTCAACACGGGGAAACTCACCAGGTCCAGACACAATAAGGATTGACAGATTGAGAGCTCTTTCTTGATTTTGTGGGTGGTGGTGCATGGCCGTTCTTAGTTGGTGGAGTGATTTGTCTGCTTGAGGTGCGATAACGAACGAGACGCTTAACCTACTAAATAGTGCTGCTAGCTTTTGCTGGTATAGTCACTTCTTAGAGGGACTATCGATTTCAAGTCGATGGAAGTTTGAGGCAATAACAGGTCTGTGATGCTT</t>
  </si>
  <si>
    <t>Cunninghamella bertholletiae</t>
  </si>
  <si>
    <t>DQ155289.1</t>
  </si>
  <si>
    <t xml:space="preserve">Yes </t>
  </si>
  <si>
    <t>&gt;consensus_cl_id_0_total_supporting_reads_14</t>
  </si>
  <si>
    <t>GTGTACTTCGTTCAGTTACGTATTGCTAAGGTTAACCTGGTAACTGGGACACAAGACTCCAGCACCTGAATTGACGGAAGGGCACCACCAGGAGTGGAGCCTGCGGCTTAATTTGACTCAACACGGGAAATCTCACCAGGCCCGGACACCGGAAGGATTGACAGATTGACAGCTCTTTCTTGATTCGGTGGGTGGTGGTGCATGGCCGTTCTTAGTTGGTGGAGCGATTTGTCTGGTTAATTCCGATAACGAACGAGACTCTAGCCTGCTAAATAGGCGTCGCCATTTAGGTGTGCGCGGCATCCGTGTCGCGCAACTCACTGTCGACGTATTAAAATTCTTCTTAGAGGGACAGGCGGCTTCTAGCCGCACGAGATTGAGCAATAACAGGTCTGTGATGCCCTTAGACGTCTTGGACGTAACTGAACGAAGTGTCCCAGTTACCAGGTTAACCTTAGCAATGCCGACCAGATAGTACTTGTCCTGCATCGGCACGAAGCCCGGTGGCACCGCCTGAAACCGACCCAGGTCAGGCAGAATCAACTGGTG</t>
  </si>
  <si>
    <t>Lepidoptera</t>
  </si>
  <si>
    <t>Callizygaena splendens</t>
  </si>
  <si>
    <t xml:space="preserve">AJ830753.1	</t>
  </si>
  <si>
    <t>&gt;consensus_cl_id_18_total_supporting_reads_70</t>
  </si>
  <si>
    <t>CATCAAGACGACGCTCAGCCATTTCGCGGCTGAGTACCGTGCACTGTTCGCCAAGGGTCGGCTATTCCTGCAGCGACCGGTATCGCGTTTGTTACGTATTGCTAAGGTTAATAGGGAAACACGATAGAATCCGAACAGCACCTGAATTGACGGAAGGGCACCACCAGGAGTGGAGCCTGCGGCTTAATTTGACTCAACACGGGAAATCTCACCAGGCCCGGACACCGGAAGGATTGACAGATTAACAGCTCTTTCTTGATTCGGTGGGTGGTGGTGCATGGCCGTTCTTAGTTGGTGGAGCGATTTGTCTGGTTAATTCCGGTAACGAACGAGACTCTAGCCTGCTAAATAGGCGTCGCCATTTAGGTGTGCGCGGCCTTCGTGTCGCGCAACTCACTGGCGACGTATTAAAATTCTTCTTAGAGGGACCGGCGGCTTCGAGCCGCACGAGATTGAGCAATAACAGGTCTGTGATGCCCTTAGACGTCTTGGACGTAACTGAACGTAACTGAACGAAGTACA</t>
  </si>
  <si>
    <t>&gt;consensus_cl_id_25_total_supporting_reads_39</t>
  </si>
  <si>
    <t>&gt;consensus_cl_id_47_total_supporting_reads_37</t>
  </si>
  <si>
    <t>CAGACCTGTTATTGCTCAATCTCGTGCGGCTCGAAGCCGCCGGTCCCTCTAAGAAGAATTTTAATACGTCGCCAGTGAGTTGCGCGACACGAAGGCCGCGCACACCTAAATGGCGACGCCTATTTAGCAGGCTAGAGTCTCGTTCGTTACCGGAATTAACCAGACAAATCGCTCCACCAACTAAGAACGGCCATGCACCACCACCCACCGAATCAAGAAAGAGCTGTTAATCTGTCAATCCTTCCGGTGTCCGGGCCTGGTGAGATTTCCCGTGTTGAGTCAAATTAAGCCGCAGGCTCCACTCCTGGTGGTGCCCTTCCGTCAATTCAGGTGCTGTTCGGATTCTATCGTGTTTCCCTATTAACCTTAGCAATACGTAACTTTTTAGTTGAACGAAGATTTACTAT</t>
  </si>
  <si>
    <t>CGCCTCCACAATCGCCAGCGCCGTCGCATCGGACCCCGCGCATGAGTGCACTTCGTTCAGACCTGTTATTGCTCAATCTCGTGCGGCTCGAAGCCGCCGGTCCCTCTAAGAAGAAATTTTAATACGTCGCCAGTGAGTTGCGCGACACGAAGGCCGCGCACACCTAAATGGCGACGCCTATTTAGCAGGCTAGAGTCTCGTTCGTTATCGGAATTAACCAGACAAATCGCTCCACCAACTAAGAACGGCCATGCACCACCACCCACCGAATCAAGAAAGAGCTGTCAATCTGTCAATCCTTCCGGTGTCCGGGCCTGGTGAGTTTCCCGTGTTGAGTCAAATTAAGCCGCAGGCTCCACTCCTGGTGGTGCCCTTCCGTCAATTCAGGTGCTGTTCGGATTCTATCGTGTTTCCCTATTAACCTTAGCAATACGTAACTTT</t>
  </si>
  <si>
    <t>CP181248.1</t>
  </si>
  <si>
    <t>KinetF / KinetR</t>
  </si>
  <si>
    <t>CGGTAGCCCATTGTACTTCGTTCAGTTACGTATTGCTAAGGTTAAAAGGTTACACAAACCCTGGACAAGCAGCACCTGATCCTTCTGCAGGTTCACCTACGGAAACCTTGTTACGACTTTTACTTCCTCTAAATGACCAAGTTTGACCAGCTTTTCGGTTCCAAGATGGAGTTGCCCCTTCTTTAAACCAATCCGGAGGCCTCACTAAGCCATTCAATCGGTAGTAGCGACGGGCGGTGTGTACAAAGGGCAGGGACGTAATCAACGCAAGCTGATGACTTGCGCTTACTAGGAATTCCTCGTTGAAGAGCAATAATTACAGTGCTCTATCCCCAGCACGACGGAGTTTCACAAGATTTCCCAGACCTCTCGGCCAAGGTTAATACTCGTTGGCTCCGTCAGTGTAGCGCGCGTGCGGCCCAGAACGTCTAAGGGCATCACAGACCTGTTATTGCCTCAAACTTCCATCGACTTGAAATCGATAGTCCCTCTAAGAAGTGACTATACCAGCAAAAGCTAGCAGCACTATTTAGTAGGTTAAGGTCTCGTTCGTTATCGCAATTAAGCAGACAAATCACTCCACCAACTAAGAACGGCCATGCACCACCACCCACAAAATCAAGAAAGAGCTCTCAATCTGTCAATCCTTATTGTGTCTGGACCTGGTGAGTTTCCCCGTGTTGAGTCAAATTAAGCCGCAGGCTCCACTCCTGGTGGTGCCCTTCCGTCAATTCCTTTAAGTTTCAGCCTTGCGACCATACTCCCCCCAGAACCCAAAGACTTTGATTTCTCGTAAGGTGCCGAGTGCGTCAAAAAAAGAACAACACCCGATCCCTAGTCGGCATAGTTTATGGTTAAGACTACGACGGTATCTGATCATCTTCGATCCCTAACTTTCGTTCTTGATTAATGAAAACGTCCTTGGCAAATGCTTTCGCAGTAGTTAGTCTTCAGGTAATCCAAGAATTTCACCTCTGACAACTGAATACTGATGCCCCCGACCGTCCCTATTAATCATTACGATGGTCCTAGAAACCAACAAAATAGAACCATAACGTCCTATTCTATTATTCCATGCTAATATATTCGAGCAAAGGCCTGCTTTGAACACTCTAATTTTTCAAAGTAAAAGTCCTGGTTCGCCAAACACCACAAGGGCGAAAGGTTAGCCAGAAGGAAAGGCTCGGTTGGGTCCAGTACTCGCCAAAAAGGCGGACCGGCCAACCAAGCCCAAGGTTCAACTACGAGCTTTTTAACTGCAACAACTTTAATATACGCTATTGGAGCTGGAATTACCGCGGCTGCTGGCACCAGACTTGCCCTCCAATTGTTCCTCGTTAAGGTATTTACATTGTACTCATTCCAATTACAAGACCCGAAAGGGCCCTGTATCGTTATTTATTGTCACTACCTCCCCGTGTCGGGATTGGGTAATTTGCGCGCCTGCTGCCTTCCTTGGATGTGGTAGCCGTTTCTCAGGCTCCTCTCCGGAATCGAACCCTTATTCCCCGTTACCCGTTGAAACCATGGTAGGCCACTATCCTACCATCGAAAGTTGATAGGGCAGAAATTTGAATGAACCATCGCCAGCACAAGGCCATGCGATTCGAAAAGTTATTATGAATCATCAAAGAGCTCCGAAAAGCATTGATTTTTTATCTAATAAATACATCCCTTCCAAACAGTCGGGATTTTTAGCATGTATTAGCTCTAGAATTACCACGGTTATCCAAGTAGTAAAGGTACTATCAAATAAACGATAACTGATTTAATGAGCCATTCGCAGTTTCACTGTATAAATTGCTTATACTTAGACATGCATGGCTTAATCTTTGAAACAAGCATATGACTACTGGCAGCCAGATGTCTAAGGGCATCACAGACTGTTATTGCCTCAAACTTCCATCGACTGAAATCGATAAAATCCCTCTAAGTGACTATGCCAGCAAAAGCTAGCAGCACTATTTAGTAGGTTAAGGTCTCGTTCGTTATCGCAATTAAGCAGACAAATCACTCCACCAACTAAGAACGGCCATGCACCACCACCCACAAAATCAGAAAGAGCTCTCAATCTGTCAGCAATCCTTATTGTGTCTGGACCTGGTGAGTTTCCCCGTGTTGGAGTCAAATTAAGCCGCAGGCTCCACTCCTGGTGGTGCCCTTCCGTCAATTC</t>
  </si>
  <si>
    <t>&gt;consensus_cl_id_12_total_supporting_reads_8</t>
  </si>
  <si>
    <t>TTAAGCCATGCATGTCTAAGTATAAGCAATTTATACAGTGAAACTGCGAATGGCTCATTAAATCAGTTATCGTTTATTTGATAGTACCTTTACTACTTGGATAACCGTGGTAATTCTAGAGCTAATACATGCAAAAATCCCGACTTTTGGAAGGGATGTATTTATTAGATAAAAAACCAATGCTTTTCGGAGCTCTTGGTGATTCATAATAACTTCTTTCGAATCGCATGGCCTTGTGCTGGCGATGGTTCATTCAAATTTCTGCCCTATCAACTTTCGATGGTAGGATAGAGGCCTACCATGGTTTCAACGGGTAACGGGGAATAAGGGTTCGATTCCGGAGAGGGAGCCTGAGAAACGGCTACCACATCCAAGGAAGGCAGCAGGCGCGCAAATTACCCAATCCCGACACGGGGAGGTAGTGACAATAAATAACAATACAGGGCCCTTTGGGTCTTGTAATTGGAATGAGTACAATTTAAATACCTTAACGAGGAACAATTGAGGGCAAGTCTGGTGCCAGCAGCCGCGGTAATTCCAGCTCCAATAGCGTATATTAAAGTTGTTGCAGTTAAAAGCTCGTAGTTGAACCTTGGGCTTGGTTGGTGGTCCGCCTTTTATGGCGAGTACTACTGGACCCAATCGAGCCTTTCCTTCTGGCTGAGCCCTTTCGTCCTTTACGGTGTTTGGCGAACCAGGACTTTTACTTTGAAAAATTAGAGTGTTCAAAGCAGGCCTTTGCTCGAATATATTAGCATGGAATAATAGAATAGGACGTTATGGTTCTATTTTGTTGGTTTCTAGGACCATCGTAATGATTAATAGGGACGGTCGGGGGCATCAGTATTCAGTTGCTAGAGGTGAAATTCTTGGATTGACTGAAGACTAACTACTGCGAAAGCATTTGCCAAGGACGTTTTCATTAATCAAGAACGAAAGTTAGGGGATCGAAGACGATTAGATACCGTCGTAGTCTTAACCATAAACTATGCCGACTAGGATCGGGCTTGTCTTTATTTGACGCTCGCTCGGCACCTTACGAGAAATCAAAGTCTTTGGGTTCTGGGGAGTATGGTCGCAAGGCTGAAACTTAAAGGAATTGACGGAAGGGCACCACCAGGAGTGGAGCCTGCGGCTTAATTTGACTCAACACGGGGAAACTCACCAGGTCCAGACATAGTAAGGATTGACAGATTGATAGCTCTTTCTTGATTCTATGGGTGGTGGTGCATGGCCGTTCTTAGTTGGTGGAGTGATTTGTCTGGTTAATTCCGATAACGAACGAGACCTTAACCTGCTAAATAGACCGGTCAGCTTTTTGCTGGCGCTGTCTTCTTAGAGGGACTATCGTTTAGCCGATGGAAGTTTGAGGCAATAACAGGTCTGTGATGCCCTTAGATGTTCTGGGCCGCACGCGCGCTACACTGACTGAGCCAGCGAGTTTATAACCTTGGCCGAGAGGTCTGGGAAATCTTGTGAAACTCGTCGTGCTGGGGATAGAGCATTGCAATTATTGCTCTTCAACGAGGAATTCCTAGTAAGCGCAAGTCATCAGCTTGCGTTGATTACGTCCCTGCCCTTTGTACACACCGCCCGTCGCTACTACCGATTGAATGGCTTAGTGAGATCTCCGGATTGGTTTAAGGAAGCGGGCAACTCCTTTGACCGAGAAGCTGGTCAAACTTGGTCATTTAGAGGAAGTAAAAGTCGTAACAAGGTTTCCGTAGGTGAACCTGCAGAAGGATCAGGTGCTGCTTGTCCAGGGTTTGTGTAACCTTTTAACCTTAGCAATACGTAACTGAACGAAGCATGCACGATTTTTTTTTTTTTTTTTTTTTTTTTTTTTTTTTTTTTT</t>
  </si>
  <si>
    <t>&gt;consensus_cl_id_21_total_supporting_reads_2</t>
  </si>
  <si>
    <t>ATGCTTGTTTCAAAGATTAAGCCATGCAAGTCTGGGTATAAGCTTTTATACGGCAAAACCGCGAATAGCTCATTACAACAGTTATAATCTACATCGAAGATCATTACCAAATGGATATCCATGGTAATTCTGGAGCTAATACATGCAACATCTCGACTCGTAGAAGGGGGGCATTCATTAGCATTGGAACCATCCAGGTTTTCGGACCTGTTCTTGGTGATCATAATGACCGAGCGGATCGCATCTTGCGACAGGTTCGTTCTGAGTTTCTGACCACCAGCTCCCGGGTCGGTAGGGTACGGTCACCGAGGCTGATGGGTCACGGGGAATTGGGGTTCGATTCCGGAGAGGGAGCTCTGAGAGATGGCTACCACATCTAAGGATGGGCAGCAGGCGCGCAAATTACCCAATCCCGATACGGGGAGGTAGTGACCTGAAATAGCAACTCAGGCATCCCCGGTTCCGGGATGGCAATGAGCGGAAAGCAAAACTCGTCGCGAGTACCTATTGGAGGGCAAGTCTGGTGCCAGCAGCCGCGGTAATTCCAGCTCCGACAGCGTATATTAAAATTGCTGCAGTTGAGCGTCCGTAGTTGGATTTCGTCCAAATTGGCGAGACGCTTGTCTGACTTCGTGTTAGTCAGTGCACTTCTGCTTCGGACTCGGGTGGGATAGCTTTGGCTGTATCGCTCTGTTACTTTGAGCAAATTGAGTGCTCCAACCAGGCTAGCCGAACAGCCAGCATGGAATAACAATATAGGACTGCGATCCTCCTGCTGGTGACGTGGAACACAAGTAATGGTTGATATGACATACGGGGAAATCTGCACATGTTGAGAGAGGTGAAATTTAAGACCCAGCAAAGACAAACAAGTGCGAAGCATTTGCCCAGTGTGTGTCGTTAATCAGGACGAAAGTTGGGGATCGAAGATGCCAGATACCGTCGTAGTCCCAACTATAAACTATGCCGACTGAGGATCGGAGGCTGTACAAATAGCCGACTCCTTCGGCACTCCAAGAGAAACTGAGTCTCTAAATATTCGGGGGGTATGGTCGCAGGGCTGAAGTTAAAGGAATTGACGGAAGGGCACCACCAGGGAGTGGAGCTCTGGGGCTTAATTGACTCCAACGCGGGGAACTACCAGGTCCGGACATACAGGATTGACAGATTGAGAGCTCTTTCTCGATTCTGTGGGTGGTGCATGGCCGTTCTTAGTCGGTGAGGTGACTTGTCCGGTTAATTCCGATAACGGACGAGACCTCGACCTACTAACTTGCCATCGTTTGCTTCTGTAAGTCACTTCTTAGAGGGACTATGTGCGACTTTCACGAGGAAGTTCGAGGCTATAACAGGCTCTGATGCCCTCAGATCGTTCGGGCCGCACGCGCTACACTGACGGAGTCAGCGAGCTCTTCACCTTGGCCGAGAGCGGGAAAATTGTGAAACTCCGTCGTGATGGGGATTGACCTTGCACATTATGGGTCTTCAACGAGGAATTCCTAGTAAGGACAAGTCATCACCTTGTGCTGATTACGTCCCTGCCCTTTGTACACACCGCCCGTCGCTTCAACCGATTGGATGATCCGGCAAATTACATGGACTTACGTAGCTGCTTTGTTCTACATCGCTCTTCGCGAGGAAATGTTGTGAGCCAAAACAACAAGAGGATAAAGAAAACATAACACGGCTCCGGGTGCACGTGTGTGGATGCGCAGATGCCTGCGCTGCGCCGCGCTCGCGATTACGCAACGCCGCCCGCACCGCGCGCAGAACCGTTCCTCGTCCACTTGCGGTTGCATGGCTACCCGTCCCGCCCGCACACCGCCCGTCGCTCTACCGACGGAGGCTTAGGAGGCCTCCGGACTGGTTAAAGAAGGCGCAACCCATCTGGCGGAGTATGAGACATGGCAACGGCCTGTTCCGATGAAGCAAAAGTCGTCAGGGGCTCCGTAGCGGTGATCCTGCAGACGGATCAGACTATCTAAGG</t>
  </si>
  <si>
    <t>CCAGCTCGCCGTACCACTTTAAATGGCGAACAGCCATACCCTTGGGACCTACTTCCAGCCCCAGGATGTGATGAGCCGACATCGAGGTGCCAAACACCGCCGTCGATATGAACTCTTGGGCGGTATCCGGCCTGTTATCCCCGGAGTACCTTTTATCCGTTGAGCGATGGCCCTTCCACATTCAAGAACCACCGGATCACTATGACCTGCTTTCGCACCTGCTCGCGCCGTCACGCTCTTGATCAAGCCGAGGGAAGGACATGCCATTGCACTAACCTCCTGATGTCTCGACCAGGATTAGCTGACCTTCGTGCTCCTCCGTTACTCTTTAGGAGGAGACCGCCTGATCAAACTACCCGCAGACACTGTCCGCAGCCCAGACCATCTAAGGGCCCTTGAGTAGTCTGGGCGCGAAAAGCTTTCATTATAGCGTCTAGCGGCTCCTGGACGAACGAATACGACTCCTCCAGATTTTCTTCCAGTGCTTCTGCTGGGCGTGTAACAGGGAGTGCTGGTGGGCGGGGCGAGTGAACTCGCAGGCGAGCGAGCAGGCGAACGAGTGGGCCGGGCGACTCGGCCGCCGCAGATCGGCTTATGGGCAGAGTATTTCCCGATGTCCGCTCACCTGCGTTCCCTGCAAGCCAAATGGAGGCTGCTCGGGAGCCTCGGGCTGTGCTGTCGGCGCTGAGCTCTTACTTCTTGACTGAGGCTTTTGCTTTCCATTTCACGGAACGCATTGGTCGAACCGAATCTGCTTCCGCCACGGGTAGTTGGTGCAGAGCTGCTATCTATTTAAATTGTGATGCTATGTACTTGCTTCTTATGAACTACATTGATACATATTTAGACGTTCGTACTCGTACTGTCACAATGGAAGCATTCTAGTGCCTCTACTGCAGCCAGACCATCTAAGGGCGGTAATTCCAGCTCCAATGGCGTATATTAAAGTTGCAGTTAAAGCGCCGTAGTTGGAACTTCGGAGCCCGACGGGGTGGTCTGCCTCACGGTATGTACTATCGGTTAGGCCTTACCTCGAGTGAGCCCGTATGTCGTTTACTCGGTGTGCGGGGGAACAGGAAATTTACTTTGAAAAAATTAGAGTGTTCAAAGCAGGCATATGCCCGAATACATTAGCATGGAATAATAAGAATAGGACGTGCGGTTCTATTTTGTTGGTTTCTAGGATCATCGTAATGATTAATAAAGGACGGTTGGGGCATTAGTATTCAGTTGCTAGAGGTGAAATTCTTAGATTTTTACTGAAGACTAACTACTGCAACATTTGCCAAGGACGTTTTCATTAATCAAGAACGAAGGATTAGAGGGGATCAAAAATGATTAGATACCGTGTAGTCCTAACAGTAAACTATGCCGACTGGGCCATGTTCATCTTTGACTGGCTCGGCACCTTTTAGAGATATCACAATGGGTTCTGGGGGAGCCTATGGTCGCTGTGACTGCCCTTAGATGGTCTGACTGCACGTCTTACATGACGGAGTCAGCGAGCTCTACCCTACCCGTACGGAGCGGGAATCTTGTGAAACTCCGTCGTGATAGGGATTGACCTTTGCAATTATGGGTCATGAACGAGGAATTCCTAGTAAGGACAAGTCATCACCTGTGTGCCGATTACGTCCCCTTCCCCTTGTACACACCGCCCGTCGCTTCAACTGATTGGATGATCCGGCAAATTACATGGACTTACGTAGCCTGCTGGTTCTACATCGCTCTTCGTGAGGAAATGTTGTGAGCCTTATCATCTAGAGGATGAAGAAGTCGTAACACGGTATCCGTAGGTGAACCTGCGGATGGATCATTCCTGTTTAAACAACAACCAACCTAAGCACTCAATGTTAATAACATGACTTAAATCATTGAATAATGAGAATTAAAACTCTCAGCGATGGATGACTCGACTCTCACACTGAGGAAGGACGCAGCAAACCGCGATAAGCAGTATGACTTGGTGAAATCGTGATTCACCAGATCTCTGAACGCAAGGTACTTCTGGCCTCGGCCCAGTATGTTTGGCTCGGTATCGTATAGATTTCTCCAATCAATTTCGATTGAATGGATGATATACAGTGTCCTTTACGTCACTGGCTAAGTGGTGCTACCCGTAAGAACTCATACAGTGAAATGTTGAGGTAATTACAGTAGGCTTCCTCAAATCATGATCCGAGCTCTGAAGGCCCTCCCGCTGAATTTAAGCATATAATTAAGCGGAGGAAAAGAAACCAACTGGGATTCCGTAGTAGTGGCGAACGAAGTGGGAAGAGCCCGCGATGTTAATCCGTTTCTGACGGAGTGTGCATCGAGGTTATAGCTACGAGAAACTGGGAAGAAGATGCCCGAAAGCGCCAGAGAAGGTGACAGCCCTGTTCTTATTCCAGCCATTCTCAAGTACAGCTTTAATTTAATGAGTCACGCTCTTTGGGAGTAGAGCGCAAAATGGGTGGTAACTTCCATCCACGGCTAGATAACGGTGAGAGATCGATAGCAAACAAGTACCGTGAGGGAAAGTTGAAAAGCACTTCCGAAAGGAGAGTTAAAATACCTGAAATCGTGGGGGAAGCGGCTGTCCGTGACCCAATGTTTGAGAGATTTCTCTCATTTTATTACTCGACATCACTTCCGTATGGTGTGACTTGTTGTCGCTTCGGCTATAACTTTGTTCTTAACATCGAGAAGTGTGGTACGCCTTTGCAAGTTGTCGAGAGTGGCATGTACAACGACCCGTCTTGAAACACGGACCAAGGAGTTAAACGAAAGTGCGAGTGTAAGGGTGTCAAACCCAGACGCGTAGTGAAAGCAAAAGCTGTGAATTACGAAGCACAGCAGCCGACTTTGAAGTTCGAGTCGAGCATTTCGTTTGGACCCGAAAGATGGTGACCTATACCTGAGTTGGGTGAAGCCAGGGGAAACCCGGGTGGAAGCTCGTAGCGATACTGACGTCAAATCGTTCGTCAAACTTGGGCATAGGGGCGAAAGACTAATCGAACCATCTAGTAGCTGGTTCCTCCGGAAGTTTCCCTCAGGATAGCTGGAAGTTAATGATCAGTTAGATCCGGTAAGCGAATGATTAGAGGCCTCGGGGGCATCCCGCCCTCGATCTATTCTCAAACTTTAAAGGGGTTTGCTACCTTGCTAATTCAGTTAGCTCGGCAGATGAATGATACTTCTTAGTGGGCCAGTTTTGGTAAGCAGAACTGGCGATGAGGTGATGCTCCAACGTTTGGTTAAGGCGCTCAACACTCGCTGATCAGACACCACTAAAGGTGTTGGTTCATTGAAACAGCAGGGCGGTGGTCATGGAGCTGAAATCCGCTAAGGGGAGGCGTAATAACTCACCTGCCCACTGGACCAGCCCTGAAATGGATAGCGCTCAAGCGGGCGGCCGATACCAAACCGTCAATGAAATTAGCATTGACGGTAGGAGGGCGTGGGGGTTGCTGAGAAGGCTTAGTTGTGAAACTAGCTGGAGCAGCCTCTGGTGCAGATCTTGGTGGTAGTAGCAATTAATCAAATGAGAACTTCGATGACCGAAGTGGATAAGGGTTCGGGAGAACAGCAATTGTCCTCGGGTTAGTCGGCCTAAGGAAAAGCTTACTCCTTCAGAGGCCGCCTCTTGACCTGAAAGGAAAAGTGCCCAATTCTTTTACTAGTTGGTGGGGGTTGCTAGGTCGCACACTGAACTTGGGTTGCCAGGAGAAGCCCTGGGGAGCGTTATCTTTACTCTTCGACAACACCACTCCTTTGAATCGGCTTGTCTGGAGAAAAGGATGAAAAGTTGGCATAGTTTCTTACACCCGTTGGAAATCCCGGTGCGCTTCTATTGGCCTTTTGAAGAGGGCCAGGGATATTTACTCCACTTTCTAGCCCGGGCCCTAAACCGCATCAGGTCTCTAGGTTCGCAGCCTCTGGTCGATAGAATAAGGTGGAGGGAAGTCGGTAAATTAGATCTGTACCTTGGAAAAGGATTGGCTCTGAGGGCCGAGCTGTGGGCTAGTGACAGTTCATCGTTCTCGCTTTTCTTAGTGGGTTACTCGCTTTGGGAGTTGCACGACGGTGGCCTACGCTAGGAGCTTCGGTCATTATCTGTTGGCATTAACCGGCTAACTCGGTGAACTGGTACGGACAAGATGAATCTGACTGTTTAATGAACAAAGCATTGCGACAAGCGGCAACGCTTTTTACGCAAGTGATTTCTGCCCAGTGCTCTGAATGTCATTGCGATGAAATTCGCCCAAGCGCGGGTAAACGGCGGAGTAACTATGACTCTCTTAAGGTAGCCAAATGCCTCGTCATTTAATTAGTGACGCGCACGAATGGATCAACAGGATCTTACTGTCCCCATCCGCCATCTAGCGAAACCACAGCCAAGGGAACGGGCTTGGCAAAATAAGCGGGGGAAAGAAGACCCTGTTGAGCTTGACTCTAGTCTGACTTTGTGGAGTGACTTGGGGGGTGTAGCATACGTGGGAGCTTTTGGCGACAGTGAAATGCGACCTCCACTGCTCTACTTACTCTGTCACAACGAACTCACGTTTTCTTACGTGTTCTGATTTAAGGTTCTCTTACCGATCGTACAGAGGACATTTTCGATGGGGAGTTTTGCTGGGGCGCATCTGCTAAGCTGCAACGCAGATGCCCTAAGGCGACTCAGAGAGAACAGAAATCTCTCGTAGACTGAAAGGGAAAAGTCAGCTTGATTCTGATTTGCAGTGCGAATACGAATCGCGAAAGCATGGCCTATCGATCCTTTAGAGTCCAGAAGGTTCTGGCAGGGGTGACAGAAAAGCACCACAGGGATAACTGGCTTGTGGCAGCCAAGCGTTCATAGCGACGTTGCTTTTGATCCTTCGATGTTTGCTCTTTCTATCATTGAGACGCAGAAGTCTCAAAATGTCGGATTGTTCACCCACTAATAGGGAACGTGAGTTGGGTTTAGACCGTCGTGAGACAGGT</t>
  </si>
  <si>
    <t>Included in phylo. analysis</t>
  </si>
  <si>
    <t>GTATCCGTAGGTGAACCTGCGGATGGATCATTAAAAAGTGTTTAGAACACACATCATCTAGGGATTTTAGGTATTACAGACATTAATTAACCTATTTAAAGGTTCAGCGATGGATTACTTGGTTTGCAGTTTGATGAAGATGTGTCAGTCCGTAGTATGGGTGCCGATCCGAGCATTTTCGAAAGCATCATTTCCGAATGTATTGCACTCGTTAGAGTACAATTAGGTCAGTGTTTACGTCTTTGACGTATGAGCGGTTCAAATTCCAGCAATCGTGGAATTCAAAACTCGGCAGTATTAACGAATGTTGTTACTGGAGTAGATAACTAATTGAACCTGATCTAATTGAAGCTACCTCTGAATTTAAGCATATAATTAAGAGGAGGAAAGGAACAACAGTGATATCCTGACTAGCGGCGAGCGAAAGGGATTCAAACTGTCCACGAATCATTGCTTGCAATGACATGTGTGGATCGATAGCGGAGCGGGGATCTAATTAGCGTTGAGGTGGAAGACTCAACTGAAAATGGTGACAGGCCTGTTTCTAAGATGAGAACGCAACGTTATGACTGTAGAGTCAAACTCCTGAGAGGTGGAGTTTAAAGCGGGCGCATTCGTACTCGAAGTTTAAGTATTACTGCAAAACCGATAGCGAATAAGTACCATGAGGGAAAGTTGAAAAGAACTCCGAGAGGAGTCAAAAACATGAAATCGTTGGGCTGAAGCATAATCAGGAACCGTCCAGCCTGTGCGGCATGGTCGTGTTTAAATGGCTGTGTATGGTCTTCTGATTATGACCCGTCTTGAAACACGGACCAAGGAGTTATTAAGCTGTGCAAGTGCTAGGGTAGCAAACCCAAGTGCGGAATGAAAGTGATGCGGATCAAGCAATTCCTGTGAAAATTGTGATAGAGCATACCCTATTAAACCCGAAAGATGGTGATCTATACTTGGGAAGAGTGAAGCCAGGAGAAATCCTGGTGGAGGCTCAATGTGATACTGACGTGCAAATCGTTCATCCTACCTGAGTATAGGGGCGGAAAGACTCATCGAACCATCTAGTAGCTGGTTCCCTCCGAAGTTTCCCTTAGGATAGCTTGAACTTTGAAAAGTAGGTTTCGGGTAAAGCTTAAGATAGAGGCACTGGGGACATCTTGGTCCTCGACCTATTCTCAAACTTCAAATGAAATCGATAAGGCCAATTAGTTGATAATTGGCGGTGACTATGTAAGTTCATAGTGGGCCATTTTTCGTAAGCAGAACTGGCGATGAGGGATGCTCCTTAAACGCATATAAGACGTCGAATTTCCGCTTATGACTAAACCACAAAGGGGGTGTTGGTTCATTGAGACAGCAGGACGGTGGTTATGGAAGTTGAAATCCGCCAAGCGAGTGTAACAACTCACCTGCCGAATGGACCAGCCCCGAAAAATTGGGATGTCGGTCACGAAAAGTCGATAATGCGTCGTTGTTGTAAAGGGAACAACGGTAGGAGGGCGGATTTTACCACTGGAGAATGTTGTGCGTGAGTGCAACAGGAGGTGAATTTAGTGCATCTTGGTGATAGTAGTAAATAGTTGTCTGAGAATGGCAACGACCTACGTGGATAGGGGTTCCGAAGGAACAGTAGTGGCTTCGGGTTAGTCGGCTCAAGGGGTTTATTAGCTCAAATGATTCCCGAAAGAGAATAAGGCTAATATTCCTTAACTCAAAGGACTTTAGAGTGGTAACACAAAGGTCACTGGGGGGTCTGGAGGAGGTCGGAGGCGACGTCTATGCCTTTCAACTCAGATATCTCTCGGAATAATGTTGGTTTGAGAAGAGAGTAACTGTGAAAGAGGACTTCATTTGAGAGCCCACGACAACAACTCGGGGCCGTTAAAACCAGTGGTCTATGGAGTTCTTTGAACCGTACCAATAACTGCAGCAGGTCTCCAAGGTTAGGTACCTTTGGCTTAGCAGAGCAAGCAGATGAGGGAAGTCGGCAAATTAGATCCGAACCTTCGGTAAAGCGATTGGCTCTTGAGGACAGTTATGCTGTCAACTCAGAACTGGTGTGGTTCAGAGGAATCTGACTGTTTAATTAAACAAAGCATTAGTGATAGGCTTTACTGCTGTTGACACAATGTGATTTCTGCCCAGTGCTCTGAATGTCACGGTGATGAGATCACTTAAGCGCGGGTAAACGGCGGGAGTAACTATGACTCTCTAAGGTAGCCAAATGCCTCGTCATCTAATTAGTGACGCGCATGAATGGATTAACGAGATTCCTACTGTCCCCATCTGCTATCTGGCGAAACCACAGCCAAGGGAACGGGCTTGGCATGATAAGCGGGGAGAAGACCCTGTTGAGCTTGACTCTAGTCTGATATTGTGGAATAACCTATGGGGTGTACTAAGGGGAGGGCTTGCCCGACAGTGAAATACCACGACCTGTAGCGTTGTTCTGCTTACTCTTAAATGGTGCAGCTCTTAAAGAGTTGGATGAATGTCGGTTATAACTCACATCAAAGAGGACATTGTCAGATGGGGAGTTTGGTTGGGGGCGGCACATCTGCTAAATTGCAACGCAGATGTCCAAAGGTTGACTCAGAGAGAACAGAAATCTCTCGTAGACTAAAAGGGGGAAAAGTCAGCTTGATTCAGAGTTTCATTACGATTATGTTCACAAGGGCGGCCATCGATCCCTTAAATCCAGAACAGTTCTGGTTAGAGGTGACAGAAAAGTTACCACAGGGATCCTGGTTAGTAATCTGGCGACGTTGCTTCGTGGTGCCTTGGAGGCAACGGACGCAGGAGTCCGGCTCAAAGTTCCGGATTGTTCACCCAAATGGGTTTGACCGTGGTGAGGAGGTCTATCGTACACTGCACTCCAGTAGTCGGACTTCGCAGGTTTAACTCTCCTGGGTCGTGAGGGATGCTTTTCTTGCAAACTATGATCGTTTTAGCCCCATCAAGTATTATTCCCACTACATGCTCAGCGGGTACACATCAAATCTCCAGAAGACATTACAACTGCGTAGTAGCCATTTGACTGAGTGATTATTTTTACAGTCCATGGTTCACCAATCTCTTAGCCTAACTGAGATTGTGTCACTGCTACTGCAATTGCGTGCAGCCAAGCGTACATAATGTTGCTTTTTGATCCTATTGTCGGCTTATTATCATTGGGACGCAGAGGTGTTGGAGTGTTCACCCGTTTTCAGGGACACCGATCTGTTTAGACAGTTGTGAGATTAATTCGAAAATAAATTACTGCGCGCAATCGCGCGTGGTATTCCACTGATCTCTCGATAATCACGATCAGTTGGATTAGTTAGCGCTCGCGATCAGATAAGAAACTACCATCCTGATAAGTTTCCGAGCGCGATGAGATAACATGTTGCCCGGGTGTGCCCTTCCGTCAATCGTTGCTGCTTGTCCAGGGTTTGTTAACCTTTTAACCTTAGCAATACGCAACTGAACGAAGTACAAT</t>
  </si>
  <si>
    <t>&gt;consensus_cl_id_15_total_supporting_reads_2</t>
  </si>
  <si>
    <t>CCAGCTCACGTTCCTATTAGCGGGTGAACAATCCGACATTTTGGGGCTTCTGCGTCTCAATGATAGAAGAACCGACATCGAAGGATCAAAAAGCAACGTCGCTATGAACGCTTGGCTGCCACAAGCCAGTTATCCTGTGGTAACTTTTCTGTCACCTCTAGCCAGAACCTTTCTGGACTTAAAGGATCGATAGGCCATGCTTTCGCGGTTCGTACTCTCGCAAATCAGAATCCTGACTTTTTCCCCTTTTCAGTCTACGAGAGATTTCTGTTCTCTCTGAGTCAACCTTAGGGCATCTGCGTTGCAGTTTAGCAGATGTGCCGCCCCAGCCAAACTCCCCATCTGAATATGTCCTCTGATACGGTCGGTAAGAGAGACTAAATCTAGACACGTAGAAAACGTGATTCGGTGTGACAGGAATAAGTAGAGCGACAGTGGAGGTCGTGGTATTTCACTGTCGCCAAAGCTCCCGTCTTTTACACCCCCAGGTAGTCCGCAAAGTCAGACTCCGGTCAAGCTCAGTGGGGTCTTCTTTCCCCGCTTATTTTGCCAAGCCCGTTCCCTTGGCTGTGGTTTCGCTAGATGGCGGATGGGGACAGTAGGAATCTCGTTGATCCATTCATGCGCGTCACTAATTAAATGACAGGCATTTGGCTACCTTAAGAGAGTCATAGTTACTCCCGCCGTTTCACCCGCGCTTGGGCGAATTTCATCGCAATGAATTCCGGCACTGGGCGAAAATCACATTGCGTCAAAGCGGTGACGTGATCGCAATGCTTTGTTTTAATTAAACAGTGGACTATCCGCTTGTCCGTACAGTTCTGAGTTAGCCCGGTTGATGACAACAGGATAGCCGAAGCTCCTAGCGTAGGCCACCGCTCGTGCAACTCCCAAAGCAGTAAACCCACTCCAAGAAAGCGAGAACGATGAACTGTCACTAGGCCCTGAAAGCTCGGCCTCGAGCCAATCACTTTTTCCAAGGTACAGATCTAATTTGCCGACTTCCCTCATCCGCCTTATTCTATCGACCAGAGGCTGCGAACCTAGGAGACCCTGATGCGGTTTAGGGTACGGCTAGAAAGTGGAGTAAATATCCCTTGGGGTTTCAAAGGCCAATAGAAGCGCGCGGATTTCCAACAGGTGTAGAAACTATGCCAACTTTCTGTCCTTTTCTCCAGACAAGACGATTCAAAGGAGTGGTGTTGTAAAGGCAAGATGACGTCCCAAGGCTTCTCCTGGCAACCCAAGTTCAGTTGCGTTACCACACCCCACCAGCTAGTAAAGGAATTTGGGCCTTTTTCCCTTTCAGGTCAAGAGGCGAAGCCTCACTCTGAAGGTAAGCTTTTCCTTTAGGGCCGACTAACCCGAGGACAATTGCTTCGTTCTCCCGGAACCCTTATCCACTTCGGTCATCAAAGTTCTCATTTGATTAATTGCTACTACCACCAAGATCTGCACTAGAGGCTGCTCCAGCTAGGTTTCACAACTAAGCCTTCTCTAAACCCCCACGCCCTCCTACACGTCAATGCTAATTTCATTGACGGTTTGGTATCGGCCGCCCACTTGGGCCTATCCATTTTTCAGGGCTGGTCCATTCGGCAGGTGAGTTAGTACACGTCCTTAGCGGATTTCAACTTCCATGACCACCCCGCCCTGCTGTTTTAATGAACCACACACCTTTGTGATTGTCGATCAGCGGGAGGTGTTGAGCGCCTTAACCAAACGTTAGGAGCATCCTCATCGCCAGTTCTGCGCAAAACTGGCCCACTAAAAGTATCATTCATCTACCGAGCTAACTGAATTAGCAAGGTACCAAACCCCCAAAGTTTGAGAATAGGTCGAGGGCGGGATGCCCCGGGAGCCTCAATCTCGCTTTACCGGATCTAACTGATCGTCAACTCCAGCTATCCTGGGGAAACTTCGGAGGGAACCAGCTGTAGATGGTTCGATTACTCTTTCGCCCCTCTGCCCAAGTTTGACGAACGATTTGCACGTCAGTATCGCTACGAGCTTCCACCAGGGTTTCCCCGGTTTCACCCAACTCAGGTATAGGTCACCATCTTTCGGGTCTAAACGAAAATGCTCAGGCTCGAACTTCAGAGTCGGCTGCTGTTGCATTGTAATTCACAGCTTTTGCTTTCACTACGCGTCTGGGTTTGACACCCTTACACTCGCACTTTCGTTTAACTCCTTGGTCCGTGTTTCAAGACGGGTCGTCTGTACACTCTCGACAACTTGCAAAGGCGTACCACACTTCTCGATGTTAAGAACAAAGTTATAGCCGAAGCGGCCGGCAAGTCATAACATACGGAAGTGATGTCGGTAATGTAATGAGAGAAATCTCTCAAACATTGGGTCACGGACAGCCGCTCCCCCTCAGCGATTTCAGGTATTTTGCTCTCCTTTCGAAGTGCTTTTCAACTTTCCCACCGGGTACTTGTTTTCCTCGATCTCACCGTTATCTAGCCAGTGGATGGAGGTTACCGCCCATTTTGCGCTCTACTCCCAAGAGCGGCTCATTAGATTAAAGCTGTACTTGAGAATGGCTGGAATAAGATGGGGCTGTCACCTTCTCTGGCGTGCCTTTCCAGGCATCTTCTTCCCAGTTTCTCAATAGCTATAACCTCGATGCACAACTCCGTCAGAAACGGATTAACATCGCGGGCTCTTCCCACTTCGTTCGCCACTACTGCGGGAATCCCAGTTGGTTCTTTTCCTCCGCTTAATTATATACTTAAATTCAGCGGGTAGCCTTGCTTGAGCTCGGATCATGATTTGAGAAGCCTACCAATTACCTCAGCATTTCACTGTATGAGTTCTTACAGGTAGCATCATTTAGCCAGTGACGTAAAGGACACTGTATGTCATCCATTCAATCGAAATTGATTGGAGAAATCTATACGATACCGAGCCAAACATACTTCAGGCCGAGGCCAGAAGTACCTTTGCGTTCAGAGATCTGGTGAATCACGAAATTTCGCAAGTCATACTGCTTATCGCGGTTGTTGCGTCTTCCTCGGTGTGCGGGTCGAGTCATCCATGGCTGAGGGTTTATTCTCTTCCTTCGTGATTTCGTCATGTATTAACATTAGTGCTGGGTTGGTTGTTGTTTAAACAGGATGATCCATCCGCAGGTTCACCTACGGATACCGTGTTACGACTTCTTCATCCTCTAGATGATAAGGCTCACAACATTTCCTGCGAAGAGCGATGTAGAACAAAGCAGCTGCGTAAGTCCAGCAATTTGCCGGATCATCCAATCGGTTTAAGTGACGGGCGGTGTGTACAAGGGCAGGGACGTAATCAGCACAAGGTGATGACTTGTCCTTACTAGGAATTCCTCGTTCGTGACCCATAATTGCAAAGGTCAATCCCTATCACGACGGAGTTTCACAAGATTTCCCACTCCGTACGGAGTAGGGTAGAGCTCGCTGACTCCGTCATTGTAGCCCGCGTGCAGCCAGACCATCTAAGGGACGTAAC</t>
  </si>
  <si>
    <t>&gt;consensus_cl_id_5_total_supporting_reads_4</t>
  </si>
  <si>
    <t>GTATCCGTAGGTGAACCTGCGGATGGATCATTCCTGTTTAAACAACAACCAACCTAAGCACTCAATGTTAATAACATGACTTAAATCATTGAATAATGAGAATTAAAAACTCTCAGCGATGGATGACTCGACTTTCACACCGAGGAAGGACGCAGCAAACCGCGATAAGCAGTATGACTTGCGAAATTTCGTGATTCACCAGATCTCTGAACGCAAGGCACTTCTGGCCTCGGCCTGAAGTATGTTTGGCTCGGTATCGTATAGATTTCTCCAATCAATTTCGATTGAATGGATGACATACAGTGTCCTTTACGTCACTGGCTAAATGATGCTACCTGTAAGAACTCATACAGTGAAATGTTGAGGTAATTACAGTAGGCTTCTCAAATCATGATCCGAGCTCAAGCAAGGCTACCCGCTGAATTTAAGCATATAATTAAGCGGAGGAAAAGAAACCAACTGGGATTCCCGTAGTAGTGGCGAACGAAGTGGGAAGAGCCCGCGATGTTAATCCGTTTCTGACGGAGTTGTGCATCGAGGTTATAGCTATTGAGAAACTGGGAAGAAGATGCCTGGAAAGGCACGCCAGAGAAGGTGACAGCCCTGTTCTTATTCCAGCCATTCTCAAGTACAGCTTTAATCTAATGAGTCACGCTCTTTGGGAGTAGAGCGCAAAATGGGTGGTAACCTCCATCCACGGCTAGATAACGGTGAGAGATCGATAGCAAACAAGTACCGTGAGGGAAAGTTGAAAAGCACTTCGAAAGGAGAGTTAAAATACCTGAAATCGCTGAGGGGGAAGCGGCTGTCCGTGACCCAATGTTTGAGAGATTTCTCTCATTACATTACTCGACATCACTTCCGTATGTTATGACTTGTTGTCGCTTCGGCTATAACTTTGTTCTTAACATCGAGAAGTGTGGTACGCCTTTGCAAGTTGTCGAGAGTGGCATGTACAGACGACCCGTCTTGAAACACGGACCAAGGAGTTAAACGAAAGTGCGAGTGCAAGGGTGTCAAACCCAGACGCGTAGTGAAAGCAAAAGCTGTGAATTACAATGCAACAGCAGCCGACTCTCTGAAGTTCGAGCCTGAGCATTTTCGTTTAGACCCGAAAGATGGTGACCTATACCTGAGTTGGGTGAAGCCAGGGGAAACCCTGGTGGAAGCTCGTAGCGATACTGACGTGCAAATCGTTCGTCAAACTTGGGCATAGGGGCGAAAAGACCAATCGAACCATCTAGTAGCTGGTTCCTCCGAAGTTTCCCTCAGGATAGCTGGAAGTTAATGATCAGTTAGATCCGGTAAAGCGAATGATTAGAGGCCTCGGGGGCATCCCGCCCTCGACCTATTCTCAAACTTTAATGGGTTTGCTACCTTGCTAATTCAGTTAGCTCGGTAGATGAATGATACTTCTTAGTGGGCCAGTTTTGGTAAGCAGAACTGGCGATGAGGGATGCTCCTAACGTTTGGTTAAGGCGCTCAACACTCGCTGATCAGACACCATAAAAGGTGTTGGTTCATTGAAACAGCAGGGCGGTGGTCATGGAAGTTGAAATCCGCTAAGGAGTGTGTAATAACTCACCTGCCGAATGGACCAGCCCTGAAAATGGATAGCGCTCAAGCGGGCGGCCGATACCAAACCGTCAATGAAATTAGCATTGACGTGTAGGAGGGCGTGGGGGTTGGGTTGAGAAGGCTTAGTTGTGAAACTAGCTGGAGCAGCCTCTAGTGCAGATCTTGGTGGTAGTAGCAATTAATCAAATGAGAACTTTGATGACCGAAGTGGATAAGGGTTCCGGGAGAACAGCAATTGTCCTCGGGTTAGTCGGCCCTAAAGGAAAAGCTTACTCCTTCAGAGTGAGGCTTCGCCTCTTGACCTGAAAGGGAAAAAGGCCCAAATTCCTTTACTAGTTGGTGGGGTTGTGGTAACACAACTGAACTTGGGTTGCCAGGAGAAGCCCTGGGGAGCGTTATCTTTGCTCTTTGACAACACCACTCCTTGAATCGGCTTGTCTGGAGAAAAGGATGAAAAGTTGGCATAGTTTCTTACACCTGTTGGAAATCCGGTGCGCTTCTATTGGCCTTTGAAACCCCAAGGGATATTTACTCCACTTTCTAGCCGTACCCTAAACCGCATCAGGTCTCCTAGGTTCGCAGCCTCTGGTCGATAGAATAAGGCGGATGAGGGAAGTCGGCAAATTAGATCTGTACCTTTGGAAAAAGGATTGGCTCTGAGGGCCGAGCTTTCAGGGCCTAGTGACAGTTCATCGTTCTCGCTTTTCTTGGAGTGGGTTTACTCGCTTTGGGAGTTGCAACGAGCGGTGGCCTACGCTAGGAGCTTCGGCTATCCTGTTGGCATTAACCGGCTAACTCAGAACTGGTACGGACAAGAGGAATCTGACTGTTTAATTAAAACAAAGCATTGCGACAAGCGGCAACGCTTTTTACGCAATGTGATTTCTGCCCAGTGCTCTGAATGTCATTGCGATGAAATTCGCCCAAGCGCGGGTAAACGGCGGGAGTAACTATGACTCTCTTAAGGTAGCCAATGCCTCGTCATTTAATTAGTGACGCGCATGAATGGATCAACGAGATTCCTACTGTCCCCATCCGCCATCTAGCGAAACCACAGCCAAGGGAACGGGCTTGGCAAAATAAGCGGGGAAAGAAGACCCTGTTGAGCTTGACTCTAGTCTGACTTTGTGGAGTGACTTGGGGGTGTAGCATACGTGGGAGCTTTGGCGACAGTGAAATACCACGACCTCCACTGTCGCTCTACTTACTCTGTCACAACGAATCACGTTTTCTTACGTGTTCTAGATTTAAGGTTCTCTTACCGATCGTATCAGAGGACATATTCAGATGGGGAGTTTGGCTGGGGCGGCACATCTGCTAAACTGCAACGCAGATGCCCTAAGGTTGACTCAGAGAGAACAGAAATCTCTCGTAGACTGAAAGGGGAAAAGTCAGCTTGATTCTGATTTCCAGTGCGAATACGAACTGCGAAAGCATGGCCTATCGATCCTTTAAGTCCAGAAAGGTTCTGGCTAGAGGTGACAGAAAAGTTACCACAGGGATAACTGGCTTGTGGCAGCCAAGCGTTCATAGCGACGTTGCTTTTTGATCCTTCGATGTCGGCTCTTCCTATCATTGAGACGCAGAAGTCTCAAAATGTCGGATTGTTCACCCGCTAATAGGGAACGTGAGCTGGGTTTAGATCGTCGTGAGACAGGTAGGTGCTGCTTGTCCAGGGTTTGTGTAACCTTTTAACCTTAGCAATACGTAACTGAACGAAGCATC</t>
  </si>
  <si>
    <t>CP057630.1</t>
  </si>
  <si>
    <t>&gt;consensus_cl_id_14_total_supporting_reads_116_Run1_Barcode5_Gryllus assimilis_Am</t>
  </si>
  <si>
    <t>&gt;consensus_cl_id_13_total_supporting_reads_61</t>
  </si>
  <si>
    <t>AGTATTAGCCGCTTCGTTCAGTTACGTATTGCTAAGGTTAAAGGTTACACAAACCCTGGACAAGCAGCACCTGAATTGACGGAAGGGCACCACCAGGAGTGGAGCCTGCGGCTTAATTTGACTCAACACGGGAAATCTCACCAGGCCCGGACACCGGAAGGATTGACAGATTAACAGCTCTTTCTTGATTCGGTGGGTGGTGGTGCATGGCCGTTCTTAGTTGGTGGAGCGATTTGTCTGGTTAATTCCGGTAACGAACGAGACTCTAGCCTGCTAAATAGGCGTCGCCATTTAGGTGTGCGCGGCCGGATCCGTGTCGCGCAACTCACTGGCGACGTATTAAAATTCTTCTTAGAGGGACCGGCGGCTTCGAGCCGCACGAGATTGAGCAATAACAGGTCTGTGATGCCCTTAGATGTCTTGGACGTAACTGAACGAACCTTTTAACCTTAGCAATACGTAACTGAACGAAGTACCTCTG</t>
  </si>
  <si>
    <t>&gt;consensus_cl_id_1_total_supporting_reads_42</t>
  </si>
  <si>
    <t>CCATGACGGACTACTTTCTGCCTTTCAGGAGTGGAGCCTGCGGCTTAATTTGACTCAACACGGGAAACCTCACCAGGCCCGGACACCGGAAGGATTGACAGATTGACAGCTCTTTCTTGATTCGGTGGGTGGTGGTGCATGGCCGTTCTTAGTTGGTGGAGCGATTTGTCTGGTTAATTCCGATAACGAACGAGACTCTAGCCTGCTAAATAGGCGTCGCCATTTAGGTGTGCGCGGCTCTCGTGCGTCGCGCAACTCACTGTCGACGTACAAAAATTCTTCTTAGAGGGACAGGCGGCTTCTAGCCGCACGAGATTGAGCAATAACAGGTCTGTGATGCCCTTAGATGTCTTGGACGTACTGAAGGCAGAAAGTAGTCTTAACCTTAGCAATACGTAACTGAACGAAGTGTCAGAAAAAGTTACCACAGGGATAACTGGCTTGTGGCAGCCAAGCGTTCATAGCGACGTTGCTTTTTGATCCTTCGATGTCGGCTCTTCCTATCATTGCGACGAAGTTCAACATGCGTGATTGCTCACCCACCAACAGGAACGTGAGCTGGGTTTAGACTGTCGTGAGGACGTAACTGAACGAAGTACA</t>
  </si>
  <si>
    <t>Pryeria sinica</t>
  </si>
  <si>
    <t>AJ830768.1</t>
  </si>
  <si>
    <t>CCGCACGCGCGGCCAAGACCGACGGAGCCAACGAGTATTAACCTTGGCCGAGAGGTCTGGGAAATCTTGTGAAACTCCGTCGTGCTGGGATAGAGCATTGTAATTATTGCTCTTCAACGAGAATTCCTAGTAAGCGCAAGTCATCAGCTTGCGTTGATTACGTCCCTGCCTCTTTGTACACACCGCCCGTCGCTACTACCGATTGAATGGCTTAGTGAGGCCTCCGGATTGGTTTAAAGAAGGGGGCAACTCCATCTTGGAACCGAAAAGCCAATAAACTTGGTCATTTAGAGGAAGTAAAAAAGTCAACAAGGCTTCGTAGGTGAACCTGCAGAAGGATCCCTTAGGATGGTCTGGGCTGTTTCCTTTCGACTATGGATCTTATCACTCACAGTCTGACTCCCAGAGATGAATGGATGGCATTCGGAGTTTATCTGAATTCGGTAACCTGAGATGGGCCCCTAGTCCAAACAGTGCTCTACCTCCATCATTCTTACCTGAGGCTAGCCCTAAAGCTATTTCGGAGAGAACCAGCTATCTCCAAGTTCGCTTGAATTCCTCTCCACCACACCTCATCCCCGCACTTTTCAAAGTACGGGTTCGGTCCTCCAGTGCGTTTTACCGCACCTTCAACCTGGACATGGGTAGATCACATGGTTTCGGGGTCTACGACCACTTACTCATTCGCCCTATTCAGACTCGCTTTCGCTTGCTCCGCCCTTCAACTTAACCTGCATACGAACGTAACTCGCCGGTTCATTCTACAAAAGGCACGCCATCACCCATTAACGGCTCTGACTTCTCGGCACATGGTTTCAGGATCTATTTCACTCCCCTTCCGGGGTGCCACCTTTTCCTCACGGTACTGGTTCACTATCGGTCACTTTGCCATTTAGCCTTGGGAGATGGTCCTCCCGGATTCCGACGGACTCCTCGTTCCGCCGTACTCAGGATCCTCCTAGGTGCCAGTCAAATTTTGTCTACGGGCTTTTACCCTTTCTAGCAGACCTTTCCAGGTCCTTCGACTATCTCACTGGACTACCATATCGGAGTCCTACAACCCCAAGAGGCAAGCCTCTTGGTTTGGGTTTTTCCTGCTCTCTGCTCGCCGCTACTCAGGAATCGATTTTTTCTTTCTCTTCCTGCAGGTACTTAGATGTTTCAGTTCTCTGCGTGCTCACTCTCTAATCAGCTATGTATTCACTGAAAAGTAACATCCTATAAAAAGATGCTGGGTTCCCCATTCGGAAATCTCCGGATCAAAGCTTACTTACGGCCCTTTTCAAGCATATCGGTGTTAGTCCCGTCCTTCATCGGCTCCTAGTGCCAAGGCATCCACCGTGCGCCCTTATTCACTTTAACTCATCCTAACTTCTGCGTTAGGTTGATTGTTCCATCTAGCGATAGACTTCCCAATCAGAAAAAATAAGCAATTGAACTTATTTAAAAAACTCATTCAACGCGGTGTTCTCGGTTTGTTTAAATTATTGTTTCTGTATCCAGTTTTCAATGAACGATTTGAGAGTAGACCTCTCAAAACTGAACGAATAAAGCAACCTGTGTAGTTTCCGTAATATTCCTTGGTAGAAAGGAGGTGATCCAGCCGCACCTTCCGATACGGCTACCTTGTTACGACTTCACCCCAATCATCTATCCCACCTTAGGCGGCTGGCTCCAAAGGTTACCTCACCGACTTCGGGTGTTAAATCCTCGTGGTGTGACGGGCAGTACAAGGCTCGGGAACGTATTCACCGCGGCGTGCTGATCCGCGATTACTAGCGATTCTGGCTTGGGCGTAGGCGAGTTGCAGCCTACAATCCGAACTGAGAAGTCAGCGAGATTAGCTTAGCCTCGCGACTGCGACTCGTTGCATTCCCATTGTAGCACGGGCAGCCCAGACCATCAAGGGAATTGACGGAAGGGGCACACACAATGATGACGAGCAGGGCGAGGCACGTGAAACCTTGTCTGAATATGGGGACCATCCTCCAAGGCTAAATACTCCTGACTGACCGATAGCGAACCAGTACCGAGGGAAAGGCGAAGAACCCCTGTGAGGAGTGAAATAGATCCTGAAACCGCATGCATACAAGCAGGGAGCACCTTCGTGGTGTGACTGCGTACCTTTATAATGGGTCAGCGACTTATATTCAGTAGCAAGGTTAACCGCATAGGGAGCCGTAGAGAAATCGAGTTTTAATAGGGCGTTTAGTTGCTGGGTAGACCCGAAACCAGGCGATCTATCCATGAGCAGGTTGGGCGTTGGGTAACACTAACTGGAGGACCGAACCTCCACTGTCGTTGAAAAGCCAGGGATGACTTGTGGATAGGGGCAAGTTGGCTGACCAAGCCTGGTGATAGCTGGTTCTCCCCGAAAGCTTACGAGGTAGCGCCTCGACGAATACCATAGGGGGTAGAGCACTGTTTCGGCTAGGGGGTCATCCCGACCCTTACCAAACCGATGCAAACTCCGAATACCTATGAGTACTATCCGGGAGACAGACTGCGGTGCTAACGTCCGTAGTCAAGAGGAAAACAATCCAGACCGCCAGCTAAGGCCCCAAAATCATAGTTAAGTGGGAAACGATGTGGGAAGGCATAGATAGCCAGGAGGTTGGCTTAAGAAGCAGCCACCCTTTAAAGAAAGCGTAGGCATAGCTCACTAGTCGAGTCGGCCTGCGCGGAAGATGTAACGGGGCTAAAACTATGTGCTGAAGCTGCGGATGCATACTTTGTATACGTGGTAGGGGAGCGTTCTGTAAGCCGATGAAGGTGTGTTGAGAAGCATGCTGGAGGTATCAGAAGCGCGAACAAGTGACGTGAGTAACGACAAACGGGGTGAAAAACCTGTTCGCCGAAAGACCAAGGGTTCCAGTCCAATTAATCGGGGTTGGGTGAGTCGACCCCTAAGGCGAGGCCGAAAGGCGTAGTCGATGGGAAAATGGTTAATATTCCATTACTTCTGTGTAATGCGATGAGAGGACGGAGAAGGCTAAATCAGCCTGGCGTTGGTTGTCCAGGTGAAAGGATGGTAGCCATCTAGGCAACTAAAATTTATGCTGAGATCTGATAGCGTTTTCGTACTTGTATTGTTAGCGGTTGATGCCATGCTTCAGGAAAGCTCCCAAGCTTCAGTTACACAGGAATTGCACCAAACCGACAGAAATAAGCGAGTGAGACCAAGGCGCCGGAGAGAACTCTGCTGAAGGAACTAGGCAAAATGGTACCGTAACTTCGGGAGAAGGTGCGCTGTTGTTGGTGATGGAACTCGCCTCCTGAGCTGACGACAGCCGCAGAAACCACGCCGTAACTGTTTATTAAAAACATAGCACTCTGCAAACACGAAAGTGACGAGCAGGGTGTGATGCCCGCTCGGTGCTGGAAGGTTAATTGATGGGGTTAGCGTAAGCGGTTCTTGATCGAAGCCCCAGCAAACGGCGTCAACTATAACGGTCCTAAGGTAGCGAAATTCCTTGTCGGGTAAGTTCCGACCTGCACGAATGGGCATAATGATGGCGGCGCTGTCTCCAGCAGAGGCTCAAGTGAAATTGAAATCGCTGTGAAGATGGCGTACCCGGGCGGCTAGACGGAAAGACCTCGTGAACCTTTACTGCAGCTGACACTGAACTTTGACCTTACTTGTGTAGGATAGGTGGGAGGTTTTGAAAGCTGGAACGCCAGTTCCAGTGGAGCTGTCCTTTGAACATCACCCGGTACGTTGAGGTTCTAACTGTCCCGTGATCCGGGAATGAGAATCGTGTCTGGTGGGTAGTTTGATCAGCGGTCTCCTCCAAAGAGCAACGGAGGAGTACGAAGGTGCGCTCAGCGTGGTCGGAAATCACGCGTAGAGTATAAAGGCAAAAGCGCGCTTAACTGCGAGACCCACAAGTCGAGCAGGTACGAAAGCAGTCTTAGTGATCCGGTGGTTCTGTATGGAAGGGCCATCGCTCAACGGATAAAAGGTACCTGGGGATAACAGGCTGATACCGCCCAAGAGTTCATATCGACGGCGGTGTTTGGCACCTCGATGTCGGCTCATCTCATCCTGGGGCTGAAGCAGGTCTCATGGGTATGGCTGTTCGCCATTCAGCGAGGTACGCGAGCTGGGTTTAGACCGTCGTGAGACAGGTAGGTGCTGTTCTCGCAAAGGCAGAAAGTAGTCTTAACCTTAGCAATACGTAACTGAACGAAGTACA</t>
  </si>
  <si>
    <t xml:space="preserve">CP091362.1	</t>
  </si>
  <si>
    <t>&gt;consensus_cl_id_2_total_supporting_reads_47</t>
  </si>
  <si>
    <t>GTGTACTTCGTTCAGTTACGTATTGCTAAGGTTAAAGGATTCATTCCCACGGTAACACCAGCACCTGAATTGACGGAAGGGCACCACCAGGAGTGGAGCCTGCGGCTTAATTTGACTCAACACGGGAAATCTCACCAGGCCCGGACACCGGAAGGATTGACAGATTAACAGCTCTTTCTTGATTCGGTGGGTGGTGGTGCATGGCCGTTCTTAGTTGGTGGAGCGATTTGTCTGGTTAATTCCGGTAACGAACGAGACTCTAGCCTGCTAAATAGGCGTCGCCATTTAGGTGTGCGCGGCATCCGTGTCGCGCAACTCACTGGCGACGTATTAAAATTCTTCTTAGAGGGACCGGCGGCTTCGAGCCGCACGAGATTGAGCAATAACAGGTCTGTGATGCCCTTAGACGTCTTGGACGTAACTGAACGAAGAATCCTTTAACCTTAGCAATACGTAACTGAACGAAGTACAATACCGGAAAAAAAAAAAAAAAAAAAAAAAAAAAAAAAAAAAAAAAACACACACACACACACACACACACACACACACACACACACACACACACACACACACACACACAC</t>
  </si>
  <si>
    <t>TTAAGCCATGCATGTCTAAGTATAAGCAATTTATACAGTGAAACTGCGAATGGCTCATTAAATCAGTTATCGTTTATTTGATAGTACCTTTACTACTTGGATAACCGTGGTAATTCTAGAGCTAATACATGCTAAAAATCCCGACTGTTTGGAAGGGATGTATTTATTAGATAAAAATCAATGCTTTTCGGAGCTTTTGATGATTCATAATAACTTTTCGAATCGCATGGCCTTGTGCTGGCGATGGTTCATTCAAATTTCTGCCCTATCAACTTTCGATGGTAGGATAGTGGCCTACCATGGTTTCAACGGGTAACGGGGAATAAGGGTTCGATTCCGGAGAGGAGCCTGAGAAACGGCTACCACATCCAAGGAAGGCAGCAGGCGCGCAAATTACCCAATCCCGACACGGGGAGGTAGTGACAATAAATAACGATACAGGGCCCTTTCGGGTCTTGTAATTGGAATGAGTACAATGTAAATACCTTAACGAGGAACAATTGGAGGGCAAGTCTGGTGCCAGCAGCCGCGGTAATTCCAGCTCCAATAGCGTATATTAAAGTTGTTGCAGTTAAAAAGCTCGTAGTTGAACCTTGGGTTTGGTTGGCCGGTCCGTTTTTTGGCGAGTACTGGACCCAACCGAGCCTTTCCTTCTGGCTAACCTTCGCCCTTGTGGTTTTGGCGAACCAGGATTTTACTTTGAAAAAATTAGAGTGTTCAAAGCAGGCCTTTGCTCGAATATATTAGCATGGAATAATAGAATAGGACGTTATGGTTCTATTTTGTTGGTTTCTAGGACCATCGTAATGATTAATAGGACGGTCGGGGGCATCAGTATTCAGTTGTCAGAGGTGAAATTCTTGGATTTACTGAAGACTAACTACTGCGAAAGCATTTGCCAAGGACGTTTTCATTAATCAAGAACGAAAGTTAGGGATCGAAGATGATCAGATACCGTCGTAGTCTTAACCATAAACTATGCCGACTAGGGATCGGGTGTTGTTCTTTTTTTGACGCACTCGGCACCTTACGAGAAATCAAAGTCTTTGGGTTCTGGGGGGAGTATGGTCGCAAGGCTGAAACTTAAAGGAATTGACGGAAGGGCACCACCAGGAGTGGAGCCTGCGGCTTAATTTGACTCAACACGGGGAAACTCACCAGGTCCAGACACAATAAGGATTGACAGATTGAGAGCTCTTTCTTGATTTTGTGGGTGGTGGTGCATGGCCGTTCTTAGTTGGTGGAGTGATTTGTCTGCTTAATTGCGATAACGAACGAGACCTTAACCTACTAAATAGTGCTGCTAGCTTTTGCTGGTATAGTCACTTCTTAGAGGGACTATCGATTTCAAGTCGATGGAAGTTTGAGGCAATAACAGGTCTGTGATGCCCTTAGACGTTCTGGGCCGCACGCGCGCTACACTGACGGAGCCAACGAGTATTAACCTTGGCCGAGAGGTCTGGGAAATCTTGTGAAACTCCGTCGTGCTGGGGATAGAGCATTGTAATTATTGCTCTTCAACGAGGAATTCCTAGTAAGCGCAAGTCATCAGCTTGCGTTGATTACGTCCCTGCCCTTTGTACACACCGCCCGTCGCTACTACCGATTGAATGGCTTAGTGAGGCCTCCGGATTGGTTTAAAGAAGGGGGCAACTCCATCTTGGAACCGAAAAGCTGGTCAAACTTGGTCATTTAGAGGAAGTAAAAGTCGTAACAAGGTTTCCGTAGGTGAACCTGCAGAAGGATCAGGTGCTGGTGTTACCGTGGGAATGAATCCTTTTAACCTTAGCAATACGTAACTGAACGAAGAAAACCCTCGACCAGGCGCTGCCGTTCCGTGATGCCTTCGTGGCCGTGGGCCTGGACAGTTCGGAAAGGGGTCACCTGCCGAGCAAGTTCCAGCGCGTGTTCGGACTGCGCCCGTGGCGAAGGCTTCCTCTACCGTGGCCCACGCCGAAGAAGGCCTGCCCGAGTACATCTGGGAAGCCATCGACCTGCTGAAGATCCAGCGCATCGACCATGGCGTGCGCGCCATCGAAGACGAGCGCCTGCTGCAGCGCTTCATCGACGAACAGATCCCGCTGACTGCAGCTCCTTCCGTCAATTCAGGTGCTGGTGTTACCGTGGGAATGAATCCTTTAACCTTAGCACAGAAAATCTCGAACGAA</t>
  </si>
  <si>
    <t>ATTGTACTTCGTTCAGTTACGTATTGCTAAGGTTAAAGGATTCATTCCCACGGTAACACCAGCACCTGATCCTTCTGCAGGTTCACCTACGGATACCGTGTTACGACTTCTTCATCCTCTAGATGATAAGGCTCACAACATTTCCTCACGAAGAGCGATGTAGAACAAAGCGGCTTCCGTAAAAGTCCATGTAATTTGCCGGATCATCCAATCGGTTGAAGCGACGGGCGGTGTGTACAAGGGCAGGGACGTAATCAGCACCTGGTGATGACTTGTCCTTACTTGGGAATTCCTCGTTCATGACCCATAATTGCAAAGGTCAATCCCTATCACGACGGAGTTTCACAATTTTCCCGCTCCGTACGGAGTAGGAGTGCAGAAACTCACAGGCTCCGTCATTGTAGCGCACGTGCAGCCCAGGCCATCTAAGGGCATCACAGACCTGTTATAGGCTCGAACTTCCTTGTGATAGTCTCACAAAGTCCCTCCTAAGAAGCCAATCGCTTACAGAAGTAAACGAAGGCTAGTTAGTGATCGAGGTCTCGTCCGTTATCGGAATTAACCAGACAAGTCACCTCACCGACTAAGAACGGCCATGCACCACCACCCATAGAATCGAGAAAGAACTCTCAATCTGTCAATCTTGACTATGTCGGAGCCTGGTGAGGTTCCCCGCGTTGAGTCAAATTAAGCCGCAGGCTCCACTCCTGGTGGTGCCCTTCCGTCAATTCCTTTAAGTTTCAGCCTTGCGACCATACTCCCCAGGGCCCAGGGCTTAGATTTCTCTTGGAGTGCCGAAGGAGTCGTATTTGTACAGCCTCCGATCCTCAGTCCCGGCATAGTTTATAGTTGGGACTACGACGGTATCTAAAGCGTCTTCGATCCCCCAACTTTCGTCCTTGATTAACAGGCACACACTGGGCAAATGCTTTCGCACTTGTTTGTCTTTGCTGGGTCTTAGAATTTCACCTCTCTCCAGCAAGTACAGATGCCCCCGTATGTCCTTATCAACCATTACTTGTGTTCCACGTCACCAACAAGGAGGATCTGATCCTATATTGTTATTCCGCTGCTGAGCTGTTTAAGCTATAGCCTGGTTGGAGCACTCAATTTGCTCAAAGTAACAGAGCGGTACAGCCGAAGCTATCCCACCCGAGTCCGAAACAGAAAGTGCACTGACTAACACGAAGTCAGACAGGCGTCTCTCCGATTTGGACGAAATCCAACTTCTGAGACCCCTTTAACTGCAGCAATTTTAATACGCTATTGGAGCTGGAATTACCGCGGCTGCTGGCACCAGACTTGCCCTCCAATAGGTACTCGCAAATAGTTTTGCTTTTCCGCTCATTGCAATCACAGAACCGAAGGTCCTGAGTTGCTATTTCTAGTCACTACCTCCCCGTATCGGGATTGGGTAATTTGCGCGCCTGCTGCCATCCTTAGATGTGGTAGCCGTCTCTCAGGCTCCCTCTCCGGAATCGAACCCTAATTCCCCGTTACCCGTCACAGCGCCTCCGGTAGGCCAATACCCTACCGACCCCGGGAGCTGATGGGTCAGAAACTCGAACGAACTGTCGCAAGATGCGATCCGCTCGGTCATTATGATCACCAAGAACAGGTCCCGAAAACCTGGATGGTTCCAATGCTAATGAATGCCACCCTTCTACGAAGTCGGGTGTTTTTGCATGTATTAGCTCCAGAATACATGGATATCCATTTGGTAATGATCTTCGTGTAGATTATAACTGTTGTAATGAGCTATTCGCAGTTTTTGCCGTATAAAAGCTTATGCTTAGACTTGCATGAAATAATCTTTGAAACAAGCATATGACTACTGGCAG</t>
  </si>
  <si>
    <t>&gt;consensus_cl_id_11_total_supporting_reads_1</t>
  </si>
  <si>
    <t>GTATCCGTAGGTGAACCTATGGATGGATCATTAAAAAAGTGTTAAAAACACACATCATCTAGAAGGATTTTAGGCATTGACAGACATTAATTAACCTATTTAAAGGTTCAGCGATGGATTACTTGGTTTGCAGTTTGATGAAAGATGTCAGTCCGCAGTATGGGTGCCGATCTGAGCATTTTCGAAAGCATCATTTCTGAATGTATTGCGCTTCGTTAGAGTACAATTAGGTCAGTGTTTACGTCTTTGACGTATGAGCGGTTTAAATTCCAGTAATCGTGGAATTCCAAAACTCTTAAGTAAAACGAATGTTGTTACTTAGAGTAGATAACAAATTGAACCTGATCTAATTGAAGCTACCCTCTGAATTTAAGCATATAATTAAGAGGAGGAAAGGAAAACAACAGTGACATCCTGACTAGCGGCGAGCGAAAGGGATTCAAACTGTCCACGAATCATTGCTTGCAATGACATGTGGAACAATAGCGGAGCGGATCAATTAGTTGTTGAGGTGGAAGACTCAACTGAAAACGGTGACAGGCCTGTTTCTAAGATGAGAACGCAACGTTATGAAAAGTAGAGTCAAACTCCTTGAGAGCGGGAGTTTAAAGCGGCGTATCTGTGCTCGAAGTTTAAGTATTACTGCAAAACTGATAGCGAATAAGTACCAAGGAGGGAAAGTTGAAAAGAACTCCGAGAGGAGCTTCAAAAACATGAAATCGTTGGCTGGAAGCATAACGAAACCGTCGTAGGCAGCATGGTCATGTCCAAATGGCTGTGTTTGGCTTCTGATTATGACCTGTCTTGAAACACGACCAAGGAGTTATTAAGCTGTGCAAGTGCTAGGGCAAAAACCCAAGTGCGGAATGAAAGTGATTGCGGAACAAGCAATTCCTGTGAAATTGTGATAAGATATATTTATTAACCCGAAAGATGGTGATCTATACTTGGGAGGAGTGAAGCCAGGAGAAATCCTGGTGGAGGCTCAATGTGATACTGACGTGTAAATCGTTCATCTTACCTGAGGTAGGTTAGGGTGATCAACGAACCATCTAGCAGCTGGTTCCCTCCGAAGTTTCCCCAGATAGCTTTGAGCGCCGATATTAAGCCACCAGATAAAGCGAATGATTATGGGTCTCGGGAGTTTGGTGCTCTCGACCTATTCTCAAACTTAATGAAAGATCTGCCGTTTCTTAACAGAACTGCCAGGATTAATAACGATTCTAAGTGGGCCATTTTGCAAGAACGATGAGGGTTGCTCAACGCCAGACAAGGTGCTCAAGCCTCGCTCATCAGACACCATAAAAGGTGTTGGTTCATTTAAACAGCAGGACGGTCATGGAGGTCGAAATCCGCCAAGGAGGTAACACTCGTCTTGCCGGGAATGAACTAGCCCTGAAAATGGAGGCGCTCAAGCGAGGCACTGATACTCAACCATTGTACAAAGTTTGTGTGCAATGAGTAGGAGGGCGCGGGGTTCGTGTAGAAGTGCGCAACGTGAGTTCACAACAGCCCCGCGCAGATCTTGGTAGCTTTTATTCAAATGAGAACTTTGAAGACTGGAAGTGGAGAAGGGTCTCATGCGCACAGTGATTGGACATGGGTTAGCCGGTCCTAAGGAAAAGAGACTCGTCTCTACAATTAAGGCATTGCCTTTTTTCCGAAAGGGATTTTAAAGTTAAAATCTTAAAGCTGGGACGGATACTTCGTGGCAACACAAACTAACTTGGGTACTCAGAGAGAAGTCCCGCAAAGCGTTATCTTTGCTGTTTTAACGGTTCTTATCCCCTGGAAGTAGATTATCTAAAGAGATAGGGGAGAGGTGCCGGAATAGCACTTCATCATTTGAAGTGTGTGCGAGCGCTACTATCTGACTCGAAACCCCAAGGGACACAATTTATTCACACCTCCATCCGTACCCATAACCGCACTAGTCTCCAAGGTTAGCAGCCTCTGGTCATTAGACTAAAGTAGTTAAGGGAAGTCGGCAAAATAGATCCGTACCTTTGGAAAAGATTGGCTCTGAGGACTGGGTAGTCAGGCTCCTAAGTCAACAGTTCTGTTAGGATTGTGGCTATTTGACGCCTTTGGCGTTAAATGGACTCAGTCACGACGGTGCTCGCGGCTTTTGAGCGTTTCTACACTAAACAGCCAACTCAGAACTTGAAGCGGACAAGAGGGAATCCGACTGTTTAATTAAAACAAAGCATTGCGATAGCCTTGGTTGGTGTTGACGCAATGTGATTTCTGCCCAGTGCTCTGAATGTCAACGTGGTGAAATTCAATCAAGCGCGGGTAAACGGCGGGAGTAACTATGACTCTCTTAAGGTAGCCAAATGCCTCGTCATCTAATTAGTGACGCGCATGAATGGATCAACGAGATTCTCACGTCCTCAACTGCCATTCAGCGAAACCAGCCAAGGGAACGGGCTTGGCATACTCAGCGGGGAAAGAAGACCCTGTTGGCTTGGACTTAGTTTGGCTTTGTAAAACGACTTGAAAGGTGTAGCATAGGTGGAGTGCAAACGTCCGTGAAATACCACTACTTTCAATGTCGTTTACTTATTCCATTAAGTTGAATCTCGCAGTCTGCGAGTTTTTGCGTTAAGGCTTTTAGCCGATCAAAGAGGATGACAGAGCCAGATGGGGGAGTTTGGCTGGGGCGGTACATCTGTTAAACAACAACGCAGGTGCCCTGCTGCAAGCCTGTCGAGAACAGAAATCTCATGTTGACCGAAAGGGGAAAAGCTTGCTTGATTTTGATTTCCAGTACGAATACAACTGCGAAAGCATGGCCTATCGATCCTTTAAGGTTGAGAAATTTTCAGCTAGAGGCGTCAGAAAAGTTACCACAGGGATAACCGGCTTGTGGCAGCCAAGCGCTCATAGCGACGCTGTTTTTGATCCTTCGATGTCGGCTCTTCCTATCATTGAGGACGCAGACGTCCTGAAGTGTCGGATTGTTCACCCGTTAATCAGGGAACGAGCTGGGTTTAGACCGTCGTGAGACAGGTAGGTGCTGGTGTTACCGTGGAATGAATCCTTTAACCTTAGCAATACGTAACTGAACGAAGTA</t>
  </si>
  <si>
    <t>CGGGCACACGCTCGCCCATTCATCTGAGGAATCAAATCCGTGGAAATCCTTCTGGCGCTTCTGTCTTTGCTGGCGTTGCCTGTCATGGCTGCCGAGCCGACGTTGTACGGCCGTTACGAATACATCCAGGTCTCGGAGATCGGCGAGACGTTCAAAGCCAAGATGGACGCCGGCGCGTTGACCGCATCGCTGTCGGCCAAGGACATCGAACTGTTCAAGCGCGATGGCGATGACTGGGTGCGTTTCCGTCTGGCGACCAAAGATGCCGACAGCAAAGTGTATGAGCACAAGGTTTCCGTCAGCTGATCAAAGACGTTCCCAGGGCGACGATGACGAAGAGCCGGCCGATCCCACCAAGCGCCCGGTTGTTGACCTTGAGCTGTGCTGGAGCGGCGTGAAACGCACCGTGAAGGTCAACCTCGTCGACCGCAGCCACTTCAACTACCCGTTGCTAATCGGCGCCAAGGCCCTGCGTGAATTCGGCGCGGCGGTTAACCCGGCGTCGTTATACGGCGGACAAGCCTGAGTGCTGATGGGAGATCTCCCATCGTCCAGGCGAAGCGCTGTCTTGCAGCAAACACACTCCCTGTGGGAGTGGGTTTGCCCACGCTCACGAGATTGGCGATTAAGGCGCCAGGAATGCAGCAGCTGTCTCGGCCCTTCGCGAGCGAGGTCGCCCCCACAGGATCGGGCGGACTCGAGTTTCGGCCACGCGGCTGGGCTTATGCACGTGACCGGGGTGGCGCGCCACATGGCTCACGCAGGCGGCTGAGTCTTCAGCATCGATGGCCGCTGACTGACTTCGCCATACCGGTTGCCAATCTCGGGTAACTGCTGCGCCAGCCAGATTCGGCTGACGGAAATCCAGATAGCCCACCGCACAGGCCGCGCTGATCGATGCGACGTCGAAATGCGTACTCAATTCAGTGATCTTCGGCCTCGAAATAGGCCAGGGTGCGTGCGATCTTTTCTTGTTGGGCGTCGAGCCATTCCGACCAATGCTTCTCCTCTGGCCGCAGGAAGGTCTCGTACCGAATGAGCAGCGCAGCGTCCATGAGGGCATCGGCCAGCGACATGACGTCAATCGCCGCCAGCGCGCCGAGCCTTCCTTGGGGATGAGGGGGTTGCCGACATGTTGTTGGTCCGGATGATCCGGGAATCACCCGGCTGTCATGGATCACGTTACCGTCGGCCAGGCACAGCGCGATTTTCCCGCACGGATTGTCGCGACAGACTTCAGCGTCGGGGCTGACGGGGGTGAGCGCAACCGCCTTGAGACTCACCCGGCTGCCTGTCCGGTTTCATGACAAGATCAGCACTTTGCGCGCGAATGGCGAAGCGGCGTTGTAATACAGCGTCATGCTGGGCGCAAGACATGGGCATTCCTCTGATCGGGCTGAGCCTGCAGACTAGTGAGGGCCGGGACGCTGCGCAATATCCTGAGTCAATGCCGGGCCGATTTGCGAAGGCCCGGACATAAATGTCAGACCGTCGTGAGACAGGTGATCCCTTCTGCGGGTTCACCTACGGAAACCTTGTTACGGCTTTTACTTCCTCTAAATGACCAAGTTTGACCAGCTTTTCGGTTCCAAGATGGAGTTGCCCCCTTCTTTAAACCAATCCGGAGGCCTCACTAAGCCATTCAATCGGTAGTAGCGACGGGCGGTGTGTACAAGGAAAAAGCGAGGACGTAATCAACGCAAGCTGATGACTTGCGCTTACTAGGAATTCCTCGTTGAAGAGCAATAATTACAATGCTCTATCCCCAGCACGACGGAGTTTCACAAGATTTCCCAGACCTCTCGGTAAGGTTAATACTCGTTGGCTCCGTCAGTGTAGCGCGCGTGCACGGCCCAGAACGTCTAAGGGCATCACAGACCTGTTGTTGCCTCAAACTTCCATCGACTTGAAATCGATAGTCCCCTCTAAGAAGTGACTATACCAGCAAAAGCTAGCAGCGCTATTTAGTAGATTTAAAGGTCTCGTTCGTTATCGCAATTAAGCAGACAAATCACTCCACCAACTAAGAACGGCCATGCACCACCACCCACAAAATCAAGAAAGAGCTCTCAATCTGTCAATCCTTATTGTGTCTGGACCTGGTGAGTTTCCCCGTGTTAAGTCAAATTAAACCGCAGGCTCCACTCCTGGTGGTGCCCTTCCGTCAATTCCTTTAAGTTTCAGCCTTGCGACCATACTCCCCCCAGAACCCAAAGACTTTTGATTTCTCGTAAGGTGCCGAGTGCGTCAAAGAAGACAGCACCCGATCCTAGTCGGCATAGTTTATGGTTAAGACTACGGCGGTATCTGATCATCTTCGATCCCCTAACTTTCGTTCTTGATTAATGAAAACGTCCTTGGCAAATGCTTTCGCAGTAGTTAGTCTTCAGGTAATCCAAGAATTTCACCTCTGACAACTGAATACTGATGCCCCCGACCGTCCCTATTAATCATTACGATGGTCCTAGAAACCAACGATAGAACCATAACGTCCTATTCTATTCTTCCATGCTAATATATTCGAGCAAAGGCACGCTTTGAACACTCTAATTTTTTCAAAGTAAAAAGTCCTGGTTCGCCAAACACCACAAGGGCGAAAGGTTAGCCAGAAGGAAAGGCTCGGTTAGATTGATACTCGCCAAAAAAGGCGGACCGGCCAACAAGCCCAAGGTTCAACTACGAGCTTTTTAACTGCAACAACTTTAATATACGCTATTGGAGCTGGAATTACCGCGGCTGCTGGCACCAGACTTGCCCTCAATTGTTCCTCGTTAAGGTATTTACATTGTACTCATTCCAATTACAAGACCCGAAAGGGCCTGTATCGTTATTTATTGTCACTACCTCCCCGTGTCGGGATTGGGTAATTTGCGCGCCTGCTGCCTTCCTTGGATGTGGTAGCCGTTTCTCAGGCTCCCTCTCGGAATCGAACCCTTATTCCCCGTTACCCGTTGAAACCATGGTAGGCCACTATCCACCACCTTGAAAGTTGATAGGGCAGAAATTTGAATGAACCATCGCCAGCACAAGGCCATGCGATTCGAAAAGTTATTATGAATCATCAAAGAGCTCCGAAAAGCATTGATTTTTTATCTAATAAATACATCCCTTCCAAACAGTCGGGATTTTTAGCATGTATTAGCTCTAGAATTACCACGGTTATCCAAGTAGTAAAGGTACTATCAAATAAACGATAACTGATTTAATGAGCCATTCGCAGTTTCACTGTATAAATTGCTTATACTTAGACATGCATGGCTTAATCTTTGAAACAAGCAT</t>
  </si>
  <si>
    <t>GCATCCGTAGGTGAACCTGCGGATGGATCATTCCTGTTTAAACAACAACCAACCCAAGCACTCAATGTTAATAATATGACTTAAATCATTGAATAATGAGAATTAAAAACTCTCAGCGATGGATGACTCGACTCTCACACCGAGGAAGGACGCAGCAAACCGCGATAACGGTATGACTTGCGAAATTTCGTGATTCACCAGATCTCTGAACGCAAAGGTACTTCTGGCTCGGCCTGGTGCATGTCGTTTGCTCGGTATCGTATAGATTCTCCAATCAATTTCGATTGAATGGATGACATACAGTGTCCCATACGTCACTGGCTAAATGATGCTACCTGTAAGAACTCATACAGTGAAATGTTGAGGTAATTACAGTAGGCTTCTCAAATCATGATCCGAGCTCAAGTAGGGCCTACCCGCTGAATTTAAGCATATAATTAAGCGGAGGAAAAGAAACCAACTGGGATTCCCGTAGTAGTGGCGAACGAAGTGGGAAGAGCCCGCGATGTTAATCCGTTTCTGACGGAGTTGTGCATCGAGGTTATAGCTATTGAGAAACTGGGAAGAAGATGCCTGAAAGGCACGCCAGAGAAGGTGACGGCCCTGTTCTTATTCCAGCCATTCTCAAGTACAGCTTGATCCAATGAGTCACGCCTTGGGAGTAGAGCGCAAAATGGGTGGTACCTCCATCCACGGCTAGATAACGGTGAGAGATCGATAGCAAACAAGTACCGTGAGGGAAAGTTGAAAAGCACTTCGAAAGGAGAGTTAAAATACCTGAAATCGCTGAGGGGGAAGCGGCTGTCCGTGACCCAATGTTTGAGAGATTTCTCTCTATTACATTACTCGACATCACTTCCGTATGTTATGACTTGCTGTCGCTTCGCTATAACTTTGTTCTTAACATCGAGAAGTGGTACGCCTTTGCAAGTTGTCGAGAGGGGTATGTACAGACGACCCGTCTTGAAACACGGACCAAGGAGTTAAACGAAAGTGCGAGGGTGCGGTGTCAAACCCAGACGCGTAGTGAAAGCAAAAGCTGTGAATTACAATGCAACAGCAGCCGACCCTTGAAGTTCGAGCCTGAGCATTTCGTTTAGGACCCGAAAGATGGTGACCTATACCTGAGTTGGGTGAAGCCAGGGGGAAACCCTGTGGAAGCTCGTAGCGATACTGACGTGCAAATCGTTCGTCAAACTTGGGCATAGGGCGAAAGACTAATCGAACCATCTAGTAGCTGGTTCCTCCGAAGTTTCCCCTCAGGATACCGGGAAGCTAATGATCAGTTAGATCTCGGTAAAGCGAATGGATAGAGGCCTCGGGGGCATCCCGCCTCGACCTATTCTCAAACTTTTAAATGGGCTTGCTACCTGCTAATTCAGTTAGCTCGGTAGATGAATGATACTCTTCAGTGGGCCAGTTTTGGTGGCAGAACTGGCGATGAGGGATGCTCCTAACGTTTGGTTAAGGCGGCTCTCAACACTCGCTGATCAGACACCATAAAAGGTGTTGGTTCATTGAAACAGCAGGGCGGTGGTCATGGAGCTGAAATCCGCTGGGCGTGTGTAATAACTCACCTGCCGAATGGACCAGCCCTGAAAATGGATAGCGCTCAAGCGGGCGGCCGATACCAAACCGTCAATGAAATTAGCATTGACGTGTAGGAGGGCGTGGGGGTTGCTGAGAAGGCTTAGTTGTGAAACTAGCTGGAGCAGCCTCTAGTGCAGATCTGGTGGTAGTAGCAATTAATCAAATGAGAACTTTGATGACCGAAGTGGATAAGGGTTCCGGGAGAACAGCAATTGTCCTCGGGTGGGTCGGCCTTAAAGGAAAAGCTTATCCTTCAGAGTGAGGTCGCCTTTGACCTGAAAGGGAAAGGCCCAAATTCCTTTACTAGTTGGTGGGGTTGTGGTAACACAACTGAACTTGGGTTGCCAGGAGAGTCTCTGGGGAGCGTTATCTTTGCTCTTTGACAACACCACTCCTTTGAATCGGCTTGTCTGGAGAAAAGGGATGAAGGTTGGCATAGTTTCTTACACCTGTTGGAAATCCGGTGCGCTTCTATTGGCCTTTGAAACCCCAAGGGATATTTACTTCCAATTTCTAGCCGTACCCTAAACCGCATCAGGTCTCCTAGGTTCGCAGCCTCTGGTCGATAGAATAAGGCGGATGAGGGAAGTCGGCATTAGATCTGTACCCTTGGAAAAAGGATTGGCTCTGAGTGCCGAGCTTGGTGGGCCTAGTGACAGTTCATCGTTCTCGCTTTTTCTTGGAGTGGGTTTACTCAGCTTGGGAGTTGCAACGAGCGGTGGCCCACGCTAGGAGCTTCGGCTATCCTGTTGGCATTAACCGGCTAACTCAGAACTGGTACGGACAAGAGGAATCTGACTGTTTAATTAAACAAAGCATTGCGACAAGCGGCAACGCTTTTACGCAAGTGATTTCTGCCCAGTGCTCTAACGTCATTGCGATGAAATTCGCCCAAGCGCGGGTAAACGGCGGGGAGTACTATGACTCTCTTTGGGTAGCCAAATGCCTCGTCATTTAATTAGTGACGCGCATGAATGGATCAACGAGATTCCTACTGTCCCTATCCGCCATCTAGCGAAACCACAGCCAAGGGAACGGGCTTGGCAAAATAAGCGGGGAAAGAAGACCCTGTTGAGCTTGACTTGGTCTGACTTTGTGAGTGACTGGGGGTGTAGCATACGGGGAGCTTTGGCGACAGTGAAATACCACGACCTCCACTCGTCGCTCTACTTACTCTGTCACAACGAATCACGTTTTCTTACGTGTTCTAGATTTAAGGTTCTCTCTTACCGATCGTATCAGAGGACATATTCAGATGGGGAGTTTGGCTGGGGCGGCACATCGCTAAACTGCAACGCAGGTCGTCAGGATCAATTCCAGAGATAACAGAAATCTCTCGTAGACTGAAAGGGGAAAAGTCAGATGGATTCTGATTTCCGGCGCGAATACGAATCTTGAAAGAATGGCCTATCGATCTCAAGTCCAGAAAGGTTCTGGTTAGAGGTGACAGAAAAGTTACCACAGGGATAACTGGCTTGTGGCAGCCAAGCGTTCATAGCGACGTTGCTTGATCCTTCGATGTCGGCTTTTCCTATCATTGAGACGCAGAAGTCTCAAAATGTCGGATTGTTCACCCGCTAATAGGGAACGTGAGAGCTGGGTTTAGACCGTCGTGAGACAGGTAGGTGCTGGTGTTACTGCGGGAATGAATCCTCTTTTAACCTTAGCAATACGTAACTGAACGA</t>
  </si>
  <si>
    <t>&gt;consensus_cl_id_6_total_supporting_reads_1</t>
  </si>
  <si>
    <t>CCAGCTCACGTTCCCTATTAGCGGGTGAACAATCCGACATTTTGAGACTTCTGCGTCTCAATGATAGGAAGAGCCGACATCGAAGGATCAAGCAACGTCGCTATGAACGCTTGGCTGCCACAAGCCAGTTATCCCTGTGGTAACTTTTCTGTCACCTCTAGCCAGAACCTTTCTGGACTTGAAGGATCAATTGTTTTTTCAAGTTCGTATTCGCGCCAAATCAGAATCCATTTGACTTTTCCCTTTCAGTCTACGAGAGATTTCTGTTCTCTCTGGAATTGTTCCAGACGACCTGCGTTGCAGTTTAGCAGATGTGCCGCCCCAGCCAAACTCCCCATCTGAATATGTCCTCTGATACGATCAGTGAAAACCTTAAATCTAGAACACGTAAGAAAACGTGATTCGTTGTGACAGAGTAAGTAGAGCGACGATTGGAGGTCGTGGTATTTCACTGTCACCAAAGCTCCCGTATGCTACACCCCCAAGTCACTCCACAAAGTCAGACCAAGTCAAGCTCAACAGGGTCTTCTTTCCCCGCTTATTTTGCCAAGCCCGTTCCCTTGGCTGTGGTTTCGCTAGATGGCGGATAGGGACAGTAGGAATCTCGTTGATCCATTCATGCGCGTCACTAATTAAATGACGAGGCATTTGGCTACCTTAAGAGAGTCATAGTTACTCCGCCGTTTACCTAACGCTTGGGCGAATTTCATCGCAATGACATTCAGAGCACTGGGCAGAAATCATTGCGTAAAAGCGTTGCCGCTTGTCGCAATGCTTTGTTTAATTAAACAGTCAATTCCTCTTGTCCGTACCCAGTTCTGAGTTAGCCGGTTAATGCCAACAGGATAGCCGAAGCTCCTAGCGTAGGCCACCGCTCGTTGCAACTCCCAAAGCGAGTAAACCCACTCCAAGAAAAGCGAGAACGATGAACTGTCACTAGGCCCACCAAGCTCGGCCCTCAGAGCCAATCCTTTTTCCAAAGGTACAGATCTAATTTGCCGACTTCCTCACATCCGCCTTATTCTATCGACCAGAGGCTGCGAACCTAGGAGACCTGATGCGGTTTAGGGTACGGCTAGAAATTGGAGTAAAATATCCTTGGGGTTTCAAAGGCCAATAGAAGCGCACCGGATTTCCAACAGGTGTAAGAAGCCGTAACCCATCCCTTTTCTCCAGACAAGCCGATTCAAAGGAGTGAGGTGTTGTCAAAGAGCAAGATAACGCTCCCCAGGGCTTCTCCTGGCAACCCAAGTTCAGTTGTGTTACCACAACCCCACCAACTAGTAAAGGAATTTGGGCCTTTTCCCTTTCAGGTCAAGAGGCGAAGCCTCACTCTGAAGGAGTAAGCTTTTTCCTTTAAGGCCGACCCGCTTGAGGACAATTGCTGTTCTCCCGGAACCCTTATCACTTCGGTCATCAAAGTTCTCATTTAGTTAATTACTACTACCACCAAGATCTGCGCTAGAGGCTGCTCCAGCTAGTTTCACAACTAAGCCTTCTCCTTACGCCCTCCTACACGTCAATGCTAATTTCATTGACGGTTTGGTATCGGCCGCCCGCTTGAGCGCTATCCATTTTCAGGGCTGGTCCATTCGGCAGGTGAGTTATTACACACTCCTTAGCGGATTTCAGCACCATGACCACCGCCCTGCTGTTTCAATGAACCAACGCAGCTTATGGTGTCTGATCAGCGGTGTTGAGAGCCGCCTTAACCAAACGTTAGGAGCATCCCTCATCGCCAGTTCTGCCACCAAAACTGGCCCACTAAGAAGTATCATTCATCTACCGAGCTAACTGAATTAGCAGGTAGCAAACCCATTTAAAAGTTTGAGAATAGGTCGAGGCGGGATGCCCCCGAGGCCTCTAATCATTCGCTTTACCGAGATCTAACTGATCATTAACTTCCAATATCCTGAGGGAAACTTCGGAGGGAACCAGCTAGATGGTTCGATTAGTCTTTCGCCCCTATGCCCAAGTTTGACGAACGATTTGCACGTCAGTATCGCTACGAGCTTCCACCAGGGTTTCCCTGGCTTCACCCAACTCAGGTATAGGTCACCATCTTTCGGTCTAAACGAAAATGCTCAGGCTCGAACTTCAAAGGTCGGCTGCTGTTGCATTGTAATTCACAGCTTTTGCTTTCACTACGCGTCTGGGTTTGACACCGCACCCTCGCACTTTCGTTTAACTCCTTGGTGTTTCAAGACGGGTCGTCTGTACATACCCGCTCTCGACAACTTGCAAAGGCGTACCACACTTCTCGATGTTAAGAACAAAGTTATAGCCGAAGCGACAACAAAGTCATAACATACGGAAGTGATGTCGAGTAATGTAATGAGAGAAATCTCTCAAACATTGGGTCGGACAGCCGCTTCCCCCTCAGCGATTTCAGGTATTTTAACTCTCCTTTCGAAGTGCTTTTCAACTTTCCCTCACGGTACTTGTTTGCTATCAGTCTCTCACCGTTATCTAGCCGTGGATGGAGGTTACCACCCATTTTGCAGCTCTACTCCCAAGGCGTGACTCGTTGGGTCAAGCATGTACTTGAGAATGGCTGGAATAAGAACAGGGCTGTCACCTTCTCTGGCGTGCAGCTTTCAGGCATCTTCTTCCCAGTTTCTCAATAGCTATAACCTCGATGCACAACTCCGTCAGAAACGGATTAACATCGCGGGCTCTTCCACTTCGTTCGCCACTACTACGGGAATCCCAGTTGGTTTCTTTTCCTCGCTTAATTATATGCTTAAATTCAGCGGGTAGCCTTGCTTGAGCTCGGATCATGATTTGAAAGCCTACTGTAATTACCTCAACATTTCACTGTATGAGTTCTTACAGGTAGCATCATTTAGCCAGTGACGCATGAGACACTGTATGTCATCCATTCAATCGAAATTGATTGGAGAATCTATACGATACCGAGTAAAACATACTTCAGGCCGAGGCCAGAAGTACCTTTGCGTTCAGAGATCTGGTGAATCACGAAATTTCGCAAGTCATACCTTTATCGCGGTTTGCTGCGTCCTTCCTCGGTGTGAGAGTCGAGTCATCCATCGCTGAGAGTTTTTAATTCTCATTATTCAATGATTTAAGTCATATTCCATTAACATTGAGTGCTTAGGTTGGTTGTTGTTTAAACAGGAATGATCCATCCGCAGGTTCACCTACGGATGCCGTGTTACGACTTCTTCATCCTCTAGATGATAAGGCTCACAACATTTCCTCACGAAGAGCGATGTAGAACAAAGCAGCTACGTAAGTCATGTAATTTGCGGATCATCCAATCGGTTGAAGCGACGGGCAGTGTGTACAAGAACTGAGGACGTAATCAGCACAAGGTGATGACTTGTCCTTACTAAAGGAATTCCTCGTTCATGACCCATAATTGCAAAGGTCAATCCCTATCACGACGGAGTTTCACAAGATTTCCGCTTACGTACGGAGTAGAGAGGGTAAGAGCTCGCTGACTCCGTCATTGTAGCGCACGTGCAGCCC</t>
  </si>
  <si>
    <t>CCAGCTCACGTTCCCTATAAACGGGTGAACAATCCGACACTTTGAGACTTCTGCGTCCCAATGATAGGAAGAGCCGACATCGAAGGATCAAAAAGCAACGTCGCTATGAACGCTTGGCTGCCACAAGCCAGTTATCCCTGTGGTAACTTTTCTGTCACCTCTAACCAGAACTGTTCTGGATTTAAAGGATCGATAGGCCATACTTTCGTAGTTCATAATCGTAATGAAATTCTGAATCAAGCTGACTTTTCCCCTTTTAGTCTACGAGAGATTTCTGTTCTCTCTGAGTCAACCTTTGGACATCTGCGTTGCAATTTAGCAGATGTGCCGCCCCAACCAAACTCCCCATCTGACAATGTCCTCTTTGATGTGAGTTATCAACCGACATTCATCCAACTCTTTACAGAGCTGCACCATTTAAAAGTAAGCAGAACAACGCTACAGGTCGTGGTATTTCACTGTCGGGCAAGCCCTCCCACGTATGCTACACCCCATAGGTTATTCCACAATATCAGACTAGAGTCAAGCTCAACAGGGTCTTCTTTCCCCGCTTATCATGCCAAGCCCGTTCCCTTGGCTGTGGTTTCGCCAGATAGCAGATGGGGACAGTAGGAATCTCGTTAATCCATTCATGCGCGTCACTAATTAGATGACGAGGCATTTGGCTACCTTAAGAGAGTCATAGTTACTCCCGCCGTTTACCCGCGCTTAAGTGAATCTCATCACCGTGACATTCAGAGCACTGGGCAGAAATCACATTATGTCAACAGCAGTAAAGCCTATCATAATGCTTTGTTTTAATTAAACAGTCAGATTCCTCTGGTCCACCAGTTCTGAGTTGACAGCATAACTGTCCTCAGAGCCAATCCTTTTACCGAAGGTTCGGATCTAATTTGCCGACTTCCCTCATCTGCTTTGCTCTGCTAAACCAAAGGTACCTAACCTTGGAGACCTGCTGCAGTTATTGGTACGGTTCAAGAACTCCATAGACCACTGGTTTTTCAACGGCCCCGAGTTGTTGTCGTAGACTCTCAAATGAGAATCCTCTTTCACAGTTTACTCTCTTCTCAAACCAACATTATTCCGAGAGATATCTGAGTTGAAAGGCATAGACGTCGCCTCACGACACTCCTCCGGACCCCCCAGTGCCCTTTGTGTTACCACTCTAAAGTCCTTTGAGTTAAGGAATATTAGCCTTATTCTCTTTCGAGGAATCATTTGAGCTAATAAACCCCTTAGAACCGACTAACCCGAAACCAACTACTGTTCCTTCGGAACCCTTATCCACGTAGGCCGTTGCCATTCTCAGACAACTATTTACTACTATCACCAAGATCTGCACTAAATTCACCTCCTGTTGCACTCACGCACAACATTCTCTGGTAAATTCACGCCCTCCTACACGTTGTTTCCTTTGCAACAACGACGCATTATCGACTTTTCGCTGACCGTCATCAATTTTCGGGGCTGGTCCATTCGGCAGGTGAGTTATTACACACTCCTTAGCGGATTTCAACTTCCATGACCACCGTCCTGCTGTCTCAATGAACCAACACCCTTTGTGGTTTGTCATAAGCGGAAATTAGACGTCTTATATGCGTTTAAGGAGCATCCCTCATCGCCAGTTCTGCTTGCAAAAATGGCCCACTATGAACTTACATAGTCACCGCCAATTATCAACTTAATTGGCTTTATCGATTTCATTTGAAGTTTGAGAATAGGTCGAGGACCAAGATGTCCCCAGTGCCTCTAATCATAAGCTTTACCGAAACCTACTTTTCAAAGTTCAAGCTATCCTAAGGGAAACTTCGGAGGGAACCAGCTACTAGATGGTTCGATGAGTCTTTCGCCCCTATACTCAGGTAGGATGAACGATTTGCACGTCAGTATCACATTGAGCCTCCACCAGGATTTCTCCTGGCTTCACTCTTCCCAAGTATAGATCACCATCTTTCGGGTTTAATAAGCTATGCTCTATCACAATTTTCACAGGAATTGCTTGTTCCGCAATCACTTTCATTCCGCACTTGGGTTTTTGCCCTAGCACTTGCACAGCTTAATAACTCCTTGGTCCGTGTTTCAAGACGGGTCATAATCAGAAGCCAAACACAGCCATTTAAACATGACCATGCTGCACAAGGCGGTTCCTGATTATGCTTCCAGCCCAGCGATTTCATGTTTTTTGAAGCTCCTCTCGGAGTTCTTTTCAACTTTCCCTCATGGTACTTATTCGCTATCGGTTTTGCAGTAATACTTAAACTTCGAGCACAGATACGCCCGCTTTAAACTCCACTCTCAAGGAGTTTGACTCTACTATTCATAACGTTGCGTTCTCATCTTAGAAACAGGCCTGTCACCGTTTTCAGTTGAGTCTTCCACCTCAACAACTAATTAGATCCCGCTCCGCTATTGTTCCCACATGTCATTGCAAGCAATGATTCGTGGACAGTTTGAATCCCTTTCGCTCGCCGCTAGTCAGGATGTCACTGTTGTTTTCCTTTCCTCCTCTTAATTATATGCTTAAATTCAGAGGGTAGCTTCAATTAGATCAGGTTCAATTTGTTATCTACTCTAAGTAACAACATTCGTTTTTACTTAAGAGTTTTGGAATTCCACGATTACTGGAATTTAAACCGCTCATACGTCAAAGACGTAAACACTGACCTAATTGTACTCTAACGAGTGCAATACATTCAGAAATGATGCTTTCGAAAATGCTCAGATCGGCACCCATACTGCGGACTGACACATCTTTCATCAAACTGCAAACCAAGTAATCCATCGCTGAACCTTTAAATAGGTTAATTAATGTCTGTCAATGCCTAAAATCCTTCTAGATGATGTGTGTTTTTAACACTTTTTTAATGATCCATCCGCAGGTTCACCTACGGATACCGTGTTACGACTTCTTCATCCTCTAGATGACAAGGCTTATTCCGCTTCCATTTCACAAAGGCGAATGCCAATATAAAATGTCCACAGAATTCACCGGATCATCCAATCGGTTGAAGCGACGGGCGGTGTGTACAAAGGGCAGGGACGCAATCAGCACAGTATTATGAACTATACTTACTAGGAATTCCTCGTTCATGAGCCAAAATTACAAAACTCAATCCCTAACACGACACTATTTTCGTGATTTCACATTTCTTTCGAAATGTAAGGCTTGTTGCTAGAGTCATTGTAGCACACGTGCAGCCCAGGCCATCTAAGGGCATCACAGACCTGTTATAGCCTCGATCTTACCTGGGGTAAAACCCCCAGAGTCCTTCTCCATACAGCTTCTCAGGAACGATGAGAAGAAAGGAGACAGCCGAGATCTCGTCCGTTATCGGAATTAACCAGACAAGTCACCTCACCGACTAAGAACGGCCATGCACCACCACCCATAGAATCAAGAAAGATCTCTTCACCTGTCAATCATAACCATGTCCGGGCCTGGTAAAATTCCCGTGTTGACTCAAATTAAGCCGCAGGCTCCACTCCTGGTGGTGCCCTTCCGTCAATTCAGGTGCTGTTCGGATTTGGGGGGGGGGGGGGGGGGGGGGGGGGGGGGGGGGGGGGGGGGGGGGGGGGGGGGGGGGGGGGGGGGGGGGGGGG</t>
  </si>
  <si>
    <t xml:space="preserve">PREDICTED: Condylostylus longicornis </t>
  </si>
  <si>
    <t>XR_008697781.1</t>
  </si>
  <si>
    <t>NG_063420.1</t>
  </si>
  <si>
    <t>CCAGCTCGCGTACCTCTTTAAATGGCGAACAGCCATGCCAGGACCTGCTTCAGCCCCAGGATGAGATGAGCCGACATCGAGGTGCCAAACACCGCCGTCGATATGAACTCTTGGGCGGTATCAGCCTGTTATCCCCAGAGTACCTTTTATCCGTTGAGCGATGGCCCTTCCATACAGAACCACCGGATCACTAAGACCTACTTTCGTACCTGCTCGACTTGTGGGTCTCGCAGTTAAACGCGCTTTTGCCTTTATACTCTACGCGTGATTTCCGACCACGCTGAGCACACTATCGTACTCCTGCGTTACTCTTTAGGAGGAGACCGCCCCGATCAAACTACCCACCAGACACGGTCCTCGTCCCGGATCACGGGACAGAGTTAGAACCTCAACATTACCAGGGGTGGTATTTCAAGGACGACTCCACTGGAACTAGCGTTCAGCTTCAAAGCGTCCTCCACCTATCCTACACAAGTAAGGTCAAAGTTCAGTGTCAAAGTTGCAGTAAGGTTCACGGGGTCTTTCCGTCTAGCCGCGGGTACACTGCATCTTCACAGCGATTTCGATTTCACTGAGCCTCTGCTGGAGACAGCGCCGCCATCATTATGCCATTCGTGCAGGTCGGAACTTACCCGATAAGGAATTTCGCTATGGGACCGTTATAGTTACGACCGCCGTTGCAAAGGAGCTGCGATCAAGAGCTTTGCGCCAACCCCATCAATTAACCTTCCAGCACCGGGCAGGCATCACACCCTATGCGTCCGCTTTCGTGTTTGCAGAGTGCTATGTTTAATAAACAGTTGCAGCGGCCAGTTTCTGCGGCTGTCGTCAGCTCAGGAAGCGAGTTCCATCACCAACAACAGCGTACCTTCTCCCGAAGTTACGGTACCATTTTGCCTAGTTCCTTCAGCAGAGTTCTCTCAAGCGCCTTGGTCTACTCGACCTGACCACCTGTGTCGGTTTCGGGTACGATTCCTGTGTAACTGAAGCTTAAAGACTTTTTCCTGGAAGCATGGCATCAACCACTTCGCTGTCGCAAGTACAGCTTGCTTTATCAGATCTCAGCATAGAGTACCCCGGATTTGCCTAAGATACATGCCTACATCCTTTCACCTGGACAACCAACGCCAGGCTGATTTAGCCTTCTCCGTCCTCTCATCGCAGCCCCACACAGAAGTAATGGAATATTAACCATTTTCCCATCGACTACGCCTTTCGGCCTCGCGCCCAGGGTCGACTCACCCAACCCCGATTAACGTTGGACTGGAACCCTTGGTCTTTCGGCGAACGGGTTTTTCACCCGTTTTGTCGTTACTCACGTCAGCATTCGCACTTCTGATACCTCCAGCATGCTTCTCAACACCTTCATCGGCTTACAGAACGCTCCCCTACCACGTATACAAGTAACCGCATCCGCAGCTTCGGCACATAGTTTTAGCCCCGTTACATCTTCCGCGCAGGCCGACTCGACTAGTGAGCTATTACGCTTTCTTTAAAGGGTGGCTGCTTCTAAACCAACCTCCTAGCTGTCTATGCCTTCCCATGTTTCCCATAACTATGATTTTGGGGCCTTAGCTGGCGGTCTGGATTGTTTTCCTCTTGACTACGGACGTTAGCACCCGCAGTCTGTCTCCCGGATAGTACTCATAGGTATTCGGAGTTTGCATCGGTTTGGTAAGTCAGGATGACCCCTAGCCGAAGCAATGCTCTACCCCCTATGAGTATTCGTCAGGCGCTACCTAAATAACTTTCGAGAGGAACCAGCTATCACCAGGCTTGATTAGCCTTTCACCTATCCACAAGTCATCCTGGCTTTTCAACGACAGTGGGTTCGGTCCTCCAGTTAGTGTTACCCAACCTTCAACCTGCTCATGGATAGATCGCCTGGTTTCGGGTCTATACCCAGCAACTAAACGCCCTATTAAGACTCGATTCTCTACGGCTCCCCTATACGGTTAACCTTGCTACTGAATATAAGTCGCTGACCCATTATACAAAAGGTACGCTGATCCACACAGAAAGGTGCTCCCACTGCTTGTATGCATGCGGTTTCAGGATCTATTTCACTCCCCTCACGGGGTTCTTTTCGCCTTTCCCTCACGGTACTGGTTCACTATCGGTCAGTCAGGAGTATTTAGCCTTGGAGGATGGTCCCCATATTCAGACAAGGTTTCACATTGCCTCGCCCTACTCGTCATCATTATGTGTGCCCTTCCGTCAAATTCGGTAACTCCAGCTCCCCGCCGCCGCCGTCAACGGTATAGGCCCAGGCAGCGATTAAAGCTTTCAACGTCAAAATAACGGGCGCCCTTGCCGGCCTCTTCATCCGGCGTAAAGGCGATGCGGATATCGCCATGCGGAATTTGCTGCTGCCGCAGACGCACCATGGCGGTCATGATTTCGGCAATGCCGGCCTTATCGTCAGCGCCAAGCGGCGTTTTGCCGTCGGTGGTGATCGGCGTCTGCCCCAGCAGCGGTGCAGCATGGAAAACGCACCGGCGACGGCACCTCATCGCCGATACCCAGCACAATATCACCGCCGCGGTAATTTTCCACAATTTGCGGGTTTACCTGCTTACTGACGTCCGGCGAAGGTATCAAGGTGGAGATAAAGCCGATGGCGGGCACCGGCCAGGCGACGTTGGATGGCGGGGTCGCCGTGACGCAGCCTGTTCACTCTGCATCACCTGCGCAAAACCCAGTTCCAGCAGCTCCTGCTGTAACGCGCGCGCCAGTTCAGCTGCCCGTCCGTACTTGGCACATGTTTAACGTTCGCTTTAGATTGCGTATCAAAGGTGACGTAGTTAAAAAAACGATCGAGTAGTTTATCCATGATGGCGCCCTTCAAATTATCGCAAGTCATTATGCAAAAACGCCTGAAGAAATATTGCGTCAGGTCATTTTTAACCAGAATTAGCGGGAATCATTACCGGCAGTAATGATTTATTGATTAAATGAATGCGTTAAGCTGTCGCATAGTGCGGCTATAATGGTGAAAATCAGCGCGTTGCCGGCAGTACGGCTTTCAATTCACTGCCACAGCGTCTATCATGCGCGCTCTAAAAATTTCGAAACGCGCCACTGGTTTTGAGCTTTTGTACGGCAGGAGTATTTCGCCAGCTCTGCCAGTCTTTTCCAGCGGCGGTTCTATCTGCAAGAGTTCACGGGATAGAGTGACACCATAAATGACTGAGACATCCTCTCTAAAGCCATAGTTTGAATTAAAAGCGTTAAGCAAAGGGTTCGACGGCAAAACTATCATCAACGATCTTGAACTCACCATTAATAACGGCGGGTACGGCGATCCTCGGCCCCTCGGCTGCGGCCAAGACCACCGTATTGCCTGATCGCCGGCCTGGAAGATGCCGACAGCGGCCAGATCGTGCTCGACGGTCTGGATATTACCGCCATTCCGGCCGAACAGCGCCACGTTAATACCGTCTTCAAAGCGCGCTGTTTCCGCATATGACGGTGTTTGATAACGTCGCCTTCGGCCTGCGGATGCAGAAAACGCCGGCAGCGGAGATTACCGCGCAGGTGGAAGAGGCGCTGCGCATGGTGCAGTTGGAGGCCTTCGCCCAGCGACGCCAGCTCTGTCCGGCGGCCAGCAGCAGCGCATCGGTCATCGCCAGGTAGGCAAACCGAGGTTCTGCTGGATGTGCGGTCACCGTCGGCGCTGAATTTCTCCAGCTCCACCAGCAGATGCCGAACAGGCGAAAGCGCTGCAGCAGCTCGGCATCTGCTTGTCCTTCATCACCCGCGTCGGAAGGCGCTGACCGCCGTAGGCCATCGTAGGCGGTGTAGTACTGTTGGCGGGTCGGCTTGCCGAAGTCCAGGCGCGCAGCCTGTTCGTCGCCGGCTTCCTCGGCGGGATCGAGCATCGACGCAGGCGCTGCAACACCTGCTCCCGCCTCGTCGCGGCGGTGCGCGGCATCGAGGGCGCAGGGCGATGTCGCTGCGGCCTGGGTCGGCCGCCGGCCAGCGCCTGAAAGTGCTGCTGCGGCGGAGGATCTGCGCGTTGAGGAGATCAACGGCGCCGAGCAGGTCGACGGCCTGATCGGCGCTACGTGCGCGAGCGTAACTACAAGGGATGACGCTGGATTCGGTCGTCGAGCTGGAAAACGGCAAGATGGTGATGGTCAGCGAATTCTTCAACGAAGACGATCGCGGACGTCGACCATTCGCTGAATCAGAAAATGGCGGTGACCTGGGTTGAAAGCTGGGAGGTGGTGCTGGCCGATGAAGACCTCGCGTAAACTGTTCCAGAATGTGGTGATTACCGGGGTGGTGGCCTGGCTGGTGCTGTTCGTCTTTATGCCGAACCTGATGATCATCGGCACCAACCCTGACCACGACGACGCCAACCTGATTCAGATGGTGTTCACGCTGGATATTGCGCAGGCACAATTTCCGATCCGCTGGCGCATGAAAGTGCTGCTGCACTCGCTGAATATGGCGGTGATCGCCACCCTGTGCTGCCTGGCGATCGGCTATCCGTTCGCCTTTATTCTGGCGCGCCTGCCGCAGAAGGTGCGGCCGCTGCTGCTGTTTCGCTGATCGTCCCTTCTGGACCAACTCGCTGATCCACATCTACGGCCTGAAGCTGTTTCTCAGCACCCGCGGCTACCTGAACGATTTCCTGCTGTGGCTGGGGGTGATCGATAAGCCGTTTCGCATCATGTACACCTCCGAGGCGGTGGTGCTGGGCCTGATCTATATTCTGCTGCCGTTTATGGTGATGCCGCTCTATTCCAGCATCGAGAAGCTGGATAAATCCTGCTACCTGGAGGCGGCGCGCGATCTCGGCGCCAGCAAGCTGCAGACCTTTATCCATCATCGTGCCGCTGACCATGCCGGGCATTATCGCCGGCTGCCTGCTGGTGATCCTGCCGGCGATGGGGCTGTTCTTCGTCGCGGACCTGATGGGCGGCGCGAAAACCTGCTGATCGGCAACGTGATCAAGAGCCAGTTCCTGAATATTCGCGACTGGCCGTTCGGCGCCGCCACCAGCATCTGCCTGACGCTGGTGATGGGCATGATGCTGCTGGTGTATTATACCGCGCGGCGAAACTGCTGAACAGAGAGGT</t>
  </si>
  <si>
    <t xml:space="preserve">CP099790.1	</t>
  </si>
  <si>
    <t>GAATTGACGGAAGGGCACCACCAGGAGTGGAGCCTGCGGCTTAATTTGACTCAACACGGGGAAACTCACCAGGTCCAGACACACAAGGATTGACAGATTGAGAGCTCTTTCTTGATTTTTGCGGGTGGTGGTGCATGGCCGTTCTTAGTTGGTGGAGTGATTTGTCTGCTTAATTGCGATAACGAACGAGACCTAAATTTACTAAATAGTGCTTGCCAGCTTTTGCTGGTATAGTCACTTCTTAGAGGGACTATCGATTTCAAGTCGATGGAAGTTTGAGGCAACAACAGGTCTGTGATGCCCTTAGACGTTCTGGGGCCGCACGCGCGCTACACCGACGGAGCCAACGAGTATTAACCTTGGCCGAGAGGTCTGGGAAATCTTGTGAAAACCTGTCGTGCTGGGGATAGAGCATTGTAATTATTGCTCTTCAACGAGGAATTCCTAGTAAGCGCAAGTCATCAGCTTGCGTTGATTACGCGTCCTGCCCTTGTACACCGCCCGTCGCTACTACCGATTGAATGGCTATGGCGGGGCCTCCGGATTGGTTTAAAGAAGGGGGCAAATCTATCTTGGAACCGAAAAGCTGGTCAACTTGGTCATTTAGAGGAAGTAAAAGTCGTAACAAGGTTTCCGTAGGTGAACCTGCGGAAGGATCATTACAGTATTCTTTTTCGCCAGCGCTTAATTGCGCGGCGAAAAAACCTTACACACAGTGTTTTTTGTTATTACAAGAACTTTGTTTTGGTCTGGACTAGAGTCAGTTTGGGCCAGAGGTTTATTGAACTAAACTTCAATATTTATATTGAATTGTTATTTATTTAATTGTCAATTTGTTGATTAAATTCAAAAAATCTTCAAAACTTTCAACAACGGATCTCTTGGTTCTCGCATCGATGAAGAACGCAGCGAAAATGCGATAAGTAATATGAATTGCAGATTTTCGTGAATCATCGAATCTTTGAACGCACATTGCGCCCTCTGGTATTCCAGAGGGCATGCCTGTTTGAGCGTCATTTCTCTCTCAAACCTTCGGGTTTGGCATTGAGTGATACTCTTAGTCGAACTAGGCGTTTGCTTGAAATGTATTGGCATGAGTGGTACTGGATAGTGCTATATGACTTTCAATGTATTAGGTTTATCCAACTCGTTGAATAGTTTAATGGTATATTTCTCGGTATTCTAGGCTCGGCCTTACAATATAACAAACAAGTTTGACCTCAAATCAGGTAGGATTACCCGCTGAACTTAAGCATATCAATAAGCGGGAGGAAAAGAAAACCAACAGGGATTGCCTTAGTAACGGCGAGTGAAGCGGCAAAAGCTCAAATTTGAAATCTGGTACCTTCGGTGTCCGAGTTGTAATTTGAAGAAGGTAACTTTGGAGTTGGTTTTTATTCATGTTCCTTGAACAGGACGTCACAGAGGGTGAGAATCCCGTGCGATGAGATGCCCAATTCTATGTAAAGTGCTTTCGAAGAGTCGAGTTGTTTGGGAATGCAGCTCAAGTGGGTGGTAAATTCCATCTAAAGTTAAATATTGGCGAGAGACCGATAGCGAACAAGTACAGTGATGAAGATGAAAAGAACTTTGAAAGAGAGTGAAAAAGTACGTGAAATTGTTGAAAGGGAAGGGCTTGAGATCAGACTTGGTATTTTGCGATCCTTTCCTTCTTGGTTGGGTTCCTCGCAGCTTACTGGGCCAGCATCGGTTTGGATGGTAGGATAATGACGGCGAATGGGTTCTACTTCGGTGGAGTGTTGCAGCCTATTGATACTGCCTGTCTAGACCGAGGACTGCGTCTTTTGACTAGGATGTTGGCATAATGATCTTAAGCCACCCGTCTTGAAACACGGACCAAGAGTCTAACGTCTATGCGAGTGTTTGGGTGTAAAACCCGTACGCGTAATGAAAGTGAACGTAGGTGAGAGCTTCTAAGAGTGCATCATCGACCGGATCCTGATGTCTTCGGATGGATTTGAGTAAGAGCATAGCTGTTGGGACCCGAAAGATGGTGAACTATGCCTGAATAGGGTGAAGCCAGAGTGAAACTCTGGTGGAGGCTCGTAGCGGTTCTGGACGTGCAAATCGATCGTCGAATTTGGGTATAGGGGCGAAAGATCAATCGAACCATCTAGTAGCTGGTTCCTGCCGAAGTTTCCCTCAGGATAGCAGAAGCTCGTATCAGTTTTATGAGGTAAAGCGAATGATTAGAGGTATTGGGGTTGAAATGACCTTAACCTATTCTCAAACTTTAAATAAATATGTAAGAAGTCCTTGTTGCTTAATTGAACGTGGACATTTGAATGAAGAGCTTTTAGTGGGCCATTTTTGGTAAGCAGAACTGGCGATGCGGGATGAACCGAACGTGAAGTTAAAGTGGCTGAATACACGCTCATCAGACACCACAAAAGGTGTTAGTTCATCTAGACAGCCGGACGGTGGCTCATGAAGCCGGAATCCGCTCAAGGAGTGTGTAACAACTCACCGGCCGAATGAACTAGCCCTGAAAATGGATGGCGCTCAAGCGTGTTACTTATACTTCACCGTCAGGGCTGATGATGATGCCCTGACGAGCAGGCAGGCGTGGAGGTCAGTGACGAAGCCTTGGCTGTAAAGCTGGGTAGAATGGGCTCTAGTGCAGATCTTGGTGGTAGTAGCAAATATTCAAATGAGAACTTTGAAGACTGAAGTGGGAAAGGTTCCATGTCAACAGCAGTTGGACATGGGTTAGTCGATCCTAAGAGATGGGAAGCCCGTTTCAAAGAACTTGATTTTTCAAGTCACCATCGAAAGGGAATCCGTTAAAATTCCGAACTTGGATATGGATTCTTCACGGTAACGTAACTGAATGTGGAGACGTCGGCGCGAGCTCCTGGAGGAGTTCTCTTTTCTTCTTAACAGCTTATCACCCTGAATTGGTTTATCCGGAGATAGGGTCTTATGGCTGGAAGAGTGCAATACTTTTGTTGCATCCGGTGCGCTTACGACGGTCCTTGAAAATCCACAGGAAGGAATAGTTTTCATGCCAAGTCGTACTCATAACCGCAGCAGGTCTCCAAGGTTAACAGCCTCTAGTTGATAGAATAATGTAGATAAGTGAAGTCGGCAAAATAGATCCGTAACTTCGATAAGGATTGCCTTGCGATCGGCATGGGCCCTTACCAGACGCAGCGGAACTGATGTAGACTGTCTAGGAGCAATCTTGGACGGACCGCTGTCGGATCTTGTTGTAGACGGTTTTGGTAGACTTTTAGTCGTCCGGGGCACGCTTAACGATCAACTTAGAACTGGTACGGACAAGGGGAATCTGACTGTTCAATTAAAACATAGCATTGCGATGGTCAGAAAGTGATGTTGACGCAATGTGATTTCTGCCCAGTGCTCTGAATGCTCGGTGCGAAGAAATTCAACCAAGCGCGGTAAACGGCGGGAGTAACTATGACTCTCTTAAGGTGAGTTGCCAAATGCCTCGTCATCTAATTAGTGACGCGCATGAATGGATTAACGAGATTCCCACTTCGTCCCTATCTACTATCTAGCGAAACCACAGCCAAGGGAACGGGCTTGGCAGAATCAGCGGGGAAAGAAGACCCTGTTGAGCTTGACTCTAGTTTGACATTGTGAAAAGACATAGTGGGTGTAGAATAAGGGAGCTTCGGCGCCGGTGAAATACCACTACCTCTATAGTTTTTTTACTTATTCTAATTAAGCATGACTTCATCGTCCACGTTCTAGCATTAAAGTCTCTTTAGAGGCTGATCCGGGTTGAAGACATTGTCAGGTGGGGAGTTTGGCTGGGGCGGCACATCTGTTAAACGATAACGTAGGTGTCCTAAGGGGGCTCATGGAGAACAGAAATCTCCAGTAAACAAAAAAGCCCCCTTGATTTTGATTTTCAGTGTGAATACAAACCATGAAAGTGTGGCCTATCGATCCTTTAGATCCTCGGAATTTGAGGCTAGAGGTGCTGAAAAGTTACCACAGGGATAACCGGCTTGTGGCAGTCAAGCGTTCATAGCGACATTGCTTTTTGATTCTTCGATGCTCTGGCTCTTCCTATCATACCGAAGCAGAATTCGGTAAGCGTTGATTGCCTGTTCACCAATAGGGAACGTGAGCTGGGTTTAGACCGTCGTGAGACAGGTGTGTCGGTGCTCGTGGGAATGAATCCTTTTAACCTTAGCAATACGTAACTGAACGGAAGTACA</t>
  </si>
  <si>
    <t>GCTGCACGTGCGCTACAATGACGGAGTCAGCGAGTTTTACCCTACTCCGTACGGAGCGGGAACGGTGGAAACTCCGTCGCGATAGGGATTGACCTTTGCAATTATGGGTCATGAACGAGGAATTAGTATGGACAAGTCATCACCTTGTGCTGATTACGTCCCTGCCCTTTGTACACACCGCCCGTCGCTTCAACCGATTGGATGATCCGGCAAATTACATGGACTTACGGGGCTGCTTTTACTTACATCGCCTTTCGTGAGGAAATGTTGTGAGCCTTATCATCGAGGATGAAGAAGTTGTAACACGGTATCCGTAGGTGAACCTGCGGATGGATCATTCCTGTTTAAACAACAACCAACCAAGCACTCACTACGAATACGACTTATGAACAATTGAATAATGAGAATTAAAAACTCTCAGCGATGGATGACTCGACTCTCACACCGAGAAGGACGCAGCAAAACCGCGATAAGCAGTATGACTTGCGAAATTTCGTGATTCACCAGATTCTCTGAACGCAAAGGTACTTCTGGCCTCGGCCTGAAGTATGTTTGGCTCGGTATCGTATAGATTTCTCCAATCAATTTCGATTGAATGGATGACATACAGTGTCCTTTACGTCACTGGCTAAATGATGCTACCTGTAAGAACTCACAGTGAAATGCTGGTAATTACAGTAGGCTTCTCAAATCATGATCCGAGCTCAAGAAGGCTACCCGCTGAATTTAAGCATATAATTAAGCGAGAAAAGAAACCAACTGGGATTCCTGTAGTAGTGGCGAACGAAGTGGGAAGAGCCCGCGATGTTAATCCGTTTCTGACGGAGTTGCGCATCGAGGTTATAGCTATTGAGAAACTGGGAAGAAGATGCCTGGAAAGGCACGCCAGAGAAGGTGACAGCCCTGTTCTTATTCCAGCCATTCTCAAGTACAGCTTAATTCAATGAGTCACGCTCTTTTGGGAGTAGAGCGCAAAATGGGTGGTAACCTCCATCCACGGCTAGATAACGGTGAGAGATCGATAGCAAACAAGTACCGTGAGGGAAAGCTGAAAAGCACTTCGAAAGGAGAGTTAAAAATACCTGAAATCGCTGAGGGGGAAGCGGCTGTCCGTGACCCAATGTTTGAGAGATTTCTCTCATTACATTACTCGACATCACTTCCGTATGTTATGACTTGTTGTCGCTTCGGCTATAACTTTGTTCTTAACATCGAGAAGTGTGGTACGCCTTTAAAAGTTGTCGAGAGTGGCATGTACAGACGACCCGTCTTGAAACACGGACCAAGGAGTTAAACGAAAATGCGAGTGTAAGGGTGTCAAACCCAGACGCGTGAAAGCAAAAAGCTGTGAATTACAATGCAACAGCAGCCGACTCTTGAAGTTCGAGCCTGAGCATTCTCGTTTAGACCCGAAAGATGGTGACCTATACCTGAGTTGGGGTGAAGCCAGGGGAAACCCTGGTGGAAGCTCGTAGCGATACTGACGTGCAAATCGTTCGTCAAACTTGGGCATAGGGGGCGATAATTAACTGAACCATCTAGTAGCTGGTTCCCTCCGAAGTTTCAGGATAGCTGGGTTAATGATCAGTTAGATCCGGTAAAGCGAATGATTAGAGGCCTCGGGCATCCCGCCCTCGACTCATTCTCAAACTTTAATGGGTTTCATACCTTGCTAATTCATACTCGGTAGATGAATGATACTTCTTAGTGGGCCAGTTTTGGTAAGCAGAACTGGCGATGAGGGATGCTCCTAACGTTTAAGGCGCGCTCAACACTCGCTGATCAGACACCATAAAAGGTGTTGGTTCATTGAAACAGCAGGGCGGTGGTCATGGAAGTTGAAATCCGCTAAGGAGTGTGTAATAACTCACCTGCCGAATGGACCAGCCCTTGAAAATGGATAGCGCTCAAGCGGGCGGCTGATACCAAACCGTCAATGAAATTAGCATTGACGTGTAGGAGGGCGTGGGGGTTGCTGAGAAGGCTTAGTTGTGAAACTAGCTGGAGCAGCCTCTAGTGCAGATCTTGGTGGTAGTAGCAATTAATCAAATGAGAACTTTGATGACCGAAGTGGATAAGGGTTCCGGGAGAACAGCACTGTCCTGGTTGGTTTTGTGGCCCTAAAGGAAAGTGCTTACTCCTTTCAGAGAGTGAGGCCGGCCCCCTTGACCTGAGGAAAAAAGGCCCCAAATTCCTTTACTAGTTGGTGGGGTTGTGGTAACACAACTGAACTTGGGTTGCCAGGAGAAGCCCATGGTTATCTTTGCTCTTTGACAACACCACCTTTGAATCGGCTTGTCTGGAGAAAAGGATGAAAAGTTGGCATAGTTTCTTACACCTGTTGGAAATCCGGTGCGCTTCTATTGGCCTTTGAAACCCCAAGGGATATTTACTCCACTTTCTAGCCGTACCCTAAACCGCATCAGGTCTCCTAGGCTCCGCAGCCTCTGGTCGATAGAATAAGGCGGATGAGTGGAAGTCGGCAAATTAGATCTGTACCTTTGGAAAAAGGATTGGCTCTGAGGGCCGAGCTTTCAGGGCTTCAGTGACAGTTCATCGTTCTCGCTTTTCTTGGAGTGGGTTTACTCGCTTTGGGAGTTGCAACGAGCGGTGGCCTACGCTAGGAGCTTCGGCTATCCTGTTGGCATTAACCGGCTAACTCAGAACTGGTACGGACAAGAGGAATCTGACTGTTTAATTAAAACAAAGCATTGCGACAAGCGGCAACGCTTACGCAATGTGATTTCTGCCCAGTGCTCTGAATGTCATTGCGATGAAATTCGCCCAAGCGCGGGTAAACGGCGGGGAGTAACTATGACTCTCTTTAAGGCAGCCAAATGCCCTGTCATTTCACCCGCTAGTGACGCGCATGAATGGATCAACGAGATTCCTACTGTCCCCATCCGCCATCTAGCGAAACCACAGCCAAGGGAACGGGCTTGGCAAAATAAGCGGGGAAAAAGAAGACCCTGTTGAGCTTGACTCTAGTCTGACTTTGTGGAGTGACTTGGGGTGTAGCATACGTGGGAGCTTTGGCGACAGTGAAATACCACGACCTCCACTGTCGCTCTACTTACTTCTGTCACAACGAATCACGTTTTCTTACGTGTTCTAGATTTAAGGTTCTCTTACCGATCGTATCAGAGGACATATTCAGATGGGGAGTCATTTTCGGGGCGGCACATCTGCTAAACTGCAACGCAGATGCCCTAAGGTTGACTCAGAGAGAACAGAAATCTCTCGAGACTGAAAGGGAAAAGTCAGCTTGATTCTGATTTCCAGTGCGAATACGAACTGCGAAAGCATGGCCTATCGATCCTTTAAGTCCAGAAAGGTTCTGGCTAGAGGCGGACAGAAAAGTTACCACAGGGATAACTGGCTTGTGGCAGCCAAGCGTTCATAGCGACGTTGTTTTTGATCCTTCGATGTCGGCTCTTCCTATCATTGAGACGCAGAAGTCTCTCAAAATGTCGGATTGTTCACCTCGCTAATAGGGAACGTGAGCTGGGTTTAGACCGTCGTGAGACAGGTCCCTTAGATGGTCTGGCCGCCGTTGGCTCCGCCAGTTCAATTTGCAGCCGGCGTCGCCAGGGCGATGGTGGCGTCGAGCGCGGCGCGAAAGCCCAGGCGCGGATCGCTTTTAGCGACCATTTTGTCCGCCGTCAGATGGGTCAGGGTGTCCGGTTTTTTCGACCGGCTGGCGGCACAGTTCGCGAAAGCGCAGGCCTGCGGATATGTGTCGCTGCTGGTTAAACTGTGTACCGGCTGTGGCTGCTGCGCGTCGTCATCGACAAACAGGCTTCCCTGCTCATCGAGAAACTTAATGCGCAGACGGCGGTTCTCCAGCAGTTCCCGGGCCGAAGGCGTCAGACGAGCGTCGGCGGGCAGATGGATTTCGCCCCTTCGCTGAGCGTATGGTTCGCTCTGAGCCAGCTTCGGTAATAAAATCTTTCATAGCGATTGCCAGTTCGCAGCCCAGGCCATCTAAGGGAGGTGCTGGTGTTACCGTGGGAATGAATCCTTTTAACCTTAGCAATACGTAACTGAACG</t>
  </si>
  <si>
    <t>Penicillium chrysogenum </t>
  </si>
  <si>
    <t>FJ345355.1</t>
  </si>
  <si>
    <t>&gt;consensus_cl_id_2_total_supporting_reads_30</t>
  </si>
  <si>
    <t>&gt;consensus_cl_id_4_total_supporting_reads_48</t>
  </si>
  <si>
    <t>AATAGCGTATATTAAAGTTGTTGCAGTTAAAAAGCTCGTAGTTGAACCTTGGGTCTGGCTGGCCGGTCCGCTTTATGCGAGTACTGGACCCAGCCGGGCCTTTCCTTCTGGGGAATCTCATGGCCTCTGTGGCGAACCAGGACTTTTACTTTGAAAAAATTAGAGTGTTCAAAGCAGGCCTTTGCTCGAATATATTAGCATGGAATAATAGAATAGGACGTTATGGTTCTATTTTGTTGGTTTCTAGGACCATCGTAATGATTAATAGGAACGGTCGGGGGCATCAGTATTCAGTTGTCAGAGGTGAAATTCTTGGATTTACTGAAGACTAACTACTGCGAAAGCATTTGCCAAGGACGTTTTCATTAATCAAGAACGAAAGTTAGGGGATCGAAGATGATCAGATACCGTCGTAGTCTTAACCATAAACTATGCCGACTAGGGATCGGGCGCTGTTCATTTATGACACGCTCGGCACCTTACGAGAAATCAAAGTTTTTGGGTTCTGGGGGAGTATGGTCGCAAGACTGAAACTTAAAGAGGTGCTGTTCAGGGAACAAACCAAGTTACGTTTAACCTTAGCAATACGTAACTGAACGAAGTACATC</t>
  </si>
  <si>
    <t>ACCATACTCCCCCAGAACCCAAAAACTTTGATTTCTCGTAAGGTGCCGAGCGTGTCAAAATAGAACAGCGCCCGATCCCTAGTCGGCATAGTTTATGGTTAAGACTACGACGGTATCTGATCATCTTCGATCCCCTAACTTTCGTTCTTGATTAATGAAAACGTCCTTGGCAAATGCTTTCGCAGTAGTTAGTCTTCAGTAAATCCAAGAATTTCACCTCTGACAACTGAATACTGATGCCCCCGACCGTTCCTATTAATCATTACGATGGTCCTAGAAACCAACAAAATAGAACCATAACGTCCTATTCTATTATTCCATGCTAATATATTCGAGCAAAGGCCTGCTTTGAACACTCTAATTTTTTCAAAGTAAAAGTCCTGGTTCGCCAGCGAAGGCAAAGGTTAGCCAGAAGGAAAGGCCCGGCTGGGTCCAGTACTCGCATAAAAGCGGACCGGCCAGCCAGACCCAAGGTTCAACTACGAGCTTTTTAACTGCAACAATTTTAATATACGCTCTTGGAGCTGGAATTACCGAGGTGCTGTTCGGGAACAAACCAAGTTACGTTTAACCTTAGCAATACGTACTCATTCCAATTA</t>
  </si>
  <si>
    <t>Leidyana sp. </t>
  </si>
  <si>
    <t>&gt;consensus_cl_id_6_total_supporting_reads_30</t>
  </si>
  <si>
    <t>ATATAGCGTATATTAAAGTTGTTGCAGTTAAAAAGCTCGTAGTTGAACCTTGGGTCTGGCTGGCCGGTCCGCTTTTATGCGAGTACTGGACCCAGCCGGGCCTTTCCTTCTGGGGAACTAGGCCTTCCTGGTGTGGCGAACCAGGACTTTTACTTTGAAAAAATTAGAGTGTTCAAAGCAGGCCTTTGCTCGAATATATTAGCATGGAATAATAGAATAGGACGTTATGGTTCTATTTTGTTGGTTTCTAGGACCATCGTAATGATTAATAGGGACGGTCGGGGGCATCAGTATTCAGTTGTCAGAGGTGAAATTCTTGGATTTACTGAAGACTAACTACTGCGAAAGCATTTGCCAAGGACGTTTTCATTAATCAAGAACGAAAGTTAGGGGATCGAAGATGATCAGATACCGTCGTAGTCTTAACCATAAACTATGCCGACTAGGGATCGGGCGCTGTTCATTTATGACACGCTCGGCACCTTACGAGAAATCAAAGTTTTTGGGTTCTGGGGGAGTATGGTCGCAAGACTGAAACTTAAAGAGGTGCTGAACTAGGCACAGCGAGTCTTGGTTTTAACCTTAGCAATACGTAACTGAACGAAGTATTACT</t>
  </si>
  <si>
    <t>&gt;consensus_cl_id_1_total_supporting_reads_36</t>
  </si>
  <si>
    <t>&gt;consensus_cl_id_2_total_supporting_reads_59</t>
  </si>
  <si>
    <t>AAAGAGCGTATCTTAAAATTGTTGCAGTTAAAAAGCTCGTAGTTGAACCTTGGGTCTGGCTGGCCGGTCCGCTTTTATGCGAGTACTGGACCCAGCCGGGCCTTTCCTTCTGGCTAGCTTCCTCGTGGCGAACCAGGACTTTTACTTTGAAAAAATTAGAGTGTTCAAAGCAGGCCTTTGCTCGAATATATTAGCATGGAATAATAGAATAGGACGTTATGGTTCTATTTTGTTGGTTTCTAGGACCATCGTAATGATTAATAGGAACGGTCGGGGGCATCAGTATTCAGTTGTCAGAGGTGAAATTCTTGGATTTACTGAAGACTAACTACTGCGAAAGCATTTGCCAAGGACGTTTTCATTAATCAAGAACGAAAGTTAGGGGATCGAAGATGATCAGATACCGTCGTAGTCTTAACCATAAACTATGCCGACTAGGGATCGGGCGCTGTTCATTTCTGACACGCTCGGCACCTTACGAGAAATCAAAGTTTTTGGGTTCTGGGGGAGTATGGTCGCAAGACTGAAACTTAAAGAGGTGCTGAAGCGTTGAAACCTTTGTCCTCTCTTAACCTTAGCAATACGTAACTGAACGAAGTACAATG</t>
  </si>
  <si>
    <t>CGACCATACTCCCCCAGAACCCAAAAACTTTGATTTCTCGTAAGGTGCCGAGCGTGTCAGAAATGAACAGCGCCCGATCCCTAGTCGGCATAGTTTATGGTTAAGACTACGACGGTATCTGATCATCTTCGATCCCCTAACTTTCGTTCTTGATTAATGAAAACGTCCTTGGCAAATGCTTTCGCAGTAGTTAGTCTTCAGTAAATCCAAGAATTTCACCTCTGACAACTGAATACTGATGCCCCCGACCGTTCCTATTAATCATTACGATGGTCCTAGAAACCAACAAAATAGAACCATAACGTCCTATTCTATTATTCCATGCTAATATATTCGAGCAAAGGCCTGCTTTGAACACTCTAATTTTTTCAAAGTAAAAGTCCTGGTTCGCCACGAGGGCATAGCCAGAAGGAAAGGCCCGGCTGGGTCCAGTACTCGCATAAAAGCGGACCGGCCAGCCAGACCCAAGGTTCAACTACGAGCTTTTTAACTGCAACAATTTTAAGATACGCTCTTGGAGCTGGAATTACCGAGGTGCTGAAGCGTTGAAACCTTTGTCCTCTCTTAACCTTAGCAATACGTAACAGCGAGAGAGAGATGGTTATGGTTAAGACT</t>
  </si>
  <si>
    <t>Leidyana sp.</t>
  </si>
  <si>
    <t xml:space="preserve">AB158656.1	</t>
  </si>
  <si>
    <t>Nanopore Amplicon Sequencing and Consensus Evaluation Metrics</t>
  </si>
  <si>
    <t>&gt;consensus_cl_id_8_total_supporting_reads_2</t>
  </si>
  <si>
    <t>NGSpeciesID consensuses</t>
  </si>
  <si>
    <t>Kineto2026R_RC/iLSUr</t>
  </si>
  <si>
    <t>Non-metazoa  </t>
  </si>
  <si>
    <t>This table provides a comprehensive overview of the Nanopore sequencing runs and subsequent consensus generation.
It includes details of each run (run ID, date, barcode, and read counts), quality metrics (average barcode score, cutadapt metrics), primer and amplicon information (primer sequences, target parasite, expected taxon, and amplicon size), and consensus details (number of primer-specific consensuses, support statistics). The table also presents BLAST results for taxonomic assignment (top BLAST hit, accession, query coverage, percent identity, and upper taxon) and indicates whether each consensus was included in the phylogenetic analysis, along with sequence orientation corrections if needed (based on blast alignment).
Rows with NA indicate that expected amplicon reads (purified and sequenced amplicon) were not recovered by cutadapt.</t>
  </si>
  <si>
    <t>GregF / GregR</t>
  </si>
  <si>
    <t>Cutadapt_Metrics_Total_Reads_Unique</t>
  </si>
  <si>
    <t>Reads count unique</t>
  </si>
  <si>
    <t>Sum of Cutadapt_Metrics_Total_Reads_Unique</t>
  </si>
  <si>
    <t>Barcode_ID_uniq</t>
  </si>
  <si>
    <t>Primers_uniq</t>
  </si>
  <si>
    <t>(Multiple Items)</t>
  </si>
  <si>
    <t>Column Labels</t>
  </si>
  <si>
    <t>1_1</t>
  </si>
  <si>
    <t>1_2</t>
  </si>
  <si>
    <t>1_5</t>
  </si>
  <si>
    <t>1_7</t>
  </si>
  <si>
    <t>Count of Sequence</t>
  </si>
  <si>
    <t>Sample Run_Barcode</t>
  </si>
  <si>
    <t>2_3</t>
  </si>
  <si>
    <t>2_4</t>
  </si>
  <si>
    <t>3_1</t>
  </si>
  <si>
    <t>3_2</t>
  </si>
  <si>
    <t>3_3</t>
  </si>
  <si>
    <t>3_4</t>
  </si>
  <si>
    <t>3_5</t>
  </si>
  <si>
    <t>3_6</t>
  </si>
  <si>
    <t>3_7</t>
  </si>
  <si>
    <t>3_8</t>
  </si>
  <si>
    <t>Seq_id</t>
  </si>
  <si>
    <t>&gt;consensus_cl_id_1_total_supporting_reads_2_Run1_Barcode1_Aphomia sociella_GregRC / iLSUr</t>
  </si>
  <si>
    <t xml:space="preserve">&gt;consensus_cl_id_1_total_supporting_reads_11_Run1_Barcode1_Aphomia sociella_GregF / GregR </t>
  </si>
  <si>
    <t>&gt;consensus_cl_id_0_total_supporting_reads_4_Run1_Barcode2_Gryllus bimaculatus_GregRC / iLSUr</t>
  </si>
  <si>
    <t xml:space="preserve">&gt;consensus_cl_id_5_total_supporting_reads_19_Run1_Barcode2_Gryllus bimaculatus_GregF / GregR </t>
  </si>
  <si>
    <t>GTTACGTCCCTTAGATGGCGGGCTGCACGTGCGCTACAATGACGGAGTCAGCGAGCTCTGCCCTACTTCGTACGAAGCGGGAAATCTTGTGAAACTCCGTCGTGATAGGGATTGACCTTTGCAATTATGGGTCATGAACGAGGAATTCCTAGTAAGGACAAGTCATCACCTTGTGCTGATTACGTCCCTGCCCTTTGTACACACCGCCCGTCGCTTCAACCGATTGGATGATCCGGCAAATTACATGGACTTACGTAGCTGCTTTGCTCTGCACTGCTCTTCGTGAGGAAATGTTGTGAGCCTTATCATCTAGAGGAT</t>
  </si>
  <si>
    <t xml:space="preserve">&gt;consensus_cl_id_1_total_supporting_reads_24_Run1_Barcode5_Gryllus assimilis_GregF / GregR </t>
  </si>
  <si>
    <t>&gt;consensus_cl_id_0_total_supporting_reads_2_Run1_Barcode5_Gryllus assimilis_GregRC / iLSUr</t>
  </si>
  <si>
    <t>&gt;consensus_cl_id_15_total_supporting_reads_2_Run1_Barcode5_Gryllus assimilis_GregRC / iLSUr</t>
  </si>
  <si>
    <t>&gt;consensus_cl_id_1_total_supporting_reads_8_Run1_Barcode5_Gryllus assimilis_GregRC / iLSUr</t>
  </si>
  <si>
    <t>&gt;consensus_cl_id_5_total_supporting_reads_4_Run1_Barcode5_Gryllus assimilis_GregRC / iLSUr</t>
  </si>
  <si>
    <t>GTTACGTCCCTTAGATGGTCTGGCTGCACGCGGGCTACAATGACGGAGTCAGCGAGCTCTACCCTACTCCGTACGGAGTGGGAAATCTTGTGAAACTCCGTCGTGATAGGGATTGACCTTTGCAATTATGGGTCACGAACGAGGAATTCCTAGTAAGGACAAGTCATCACCTTGTGCTGATTACGTCCCTGCCCTTGTACACACCGCCCGTCACTTAAACCGATTGGATGATCCGGCAAATTGCTGGACTTACGCAGCTGCTTTGTTCTACATCGCTCTTCGCAGGAAATGTTGTGAGCCTTATCATCTAGAGGATGAAGAAGTCGTAACACGGTATCCGTAGGTGAACCTGCGGATGGATCATCCTGTTTAAACAACAACCAACCCAGCACTAATGTTAATACATGACGAAATCACGAAGGAAGAGAATAAACCCTCAGCCATGGATGACTCGACCCGCACACCGAGGAAGACGCAACAACCGCGATAAGCAGTATGACTTGCGAAATTTCGTGATTCACCAGATCTCTGAACGCAAAGGTACTTCTGGCCTCGGCCTGAAGTATGTTTGGCTCGGTATCGTATAGATTTCTCCAATCAATTTCGATTGAATGGATGACATACAGTGTCCTTTACGTCACTGGCTAAATGATGCTACCTGTAAGAACTCATACAGTGAAATGCTGAGGTAATTGGTAGGCTTCTCAAATCATGATCCGAGCTCAAGCAAGGCTACCCGCTGAATTTAAGTATATAATTAAGCGGAGGAAAAGAACCAACTGGGATTCCCGCAGTAGTGGCGAACGAAGTGGGAAGAGCCCGCGATGTTAATCCGTTTCTGACGGAGTTGTGCATCGAGGTTATAGCTATTGAGAAACTGGGAAGAAGATGCCTGGAAAGGCACGCCAGAGAAGGTGACAGCCCCATCTTATTCCAGCCATTCTCAAGTACAGCTTTAATCTAATGAGCCGCTCTTGGGAGTAGAGCGCAAAATGGGCGGTAACCTCCATCCACTGGCTAGATAACGGTGAGATCGAGGAAAACAAGTACCCGGTGGGAAAGTTGAAAAGCACTTCGAAAGGAGAGCAAAATACCTGAAATCGCTGAGGGGGAGCGGCTGTCCGTGACCCAATGTTTGAGAGATTTCTCTCATTACATTACCGACATCACTTCCGTATGTTATGACTTGCCGGCCGCTTCGGCTATAACTTTGTTCTTAACATCGAGAAGTGTGGTACGCCTTTGCAAGTTGTCGAGAGTGTACAGACGACCCGTCTTGAAACACGGACCAAGGAGTTAAACGAAAGTGCGAGTGTAAGGGTGTCAAACCCAGACGCGTAGTGAAAGCAAAAGCTGTGAATTACAATGCAACAGCAGCCGACTCTGAAGTTCGAGCCTGAGCATTTTCGTTTAGACCCGAAAGATGGTGACCTATACCTGAGTTGGGTGAAACCGGGGAAACCCTGGTGGAAGCTCGTAGCGATACTGACGTGCAAATCGTTCGTCAAACTTGGGCAGAGGGGCGAAAGAGTAATCGAACCATCTACAGCTGGTTCCCTCCGAAGTTTCCCCAGGATAGCTGGAGTTGACGATCAGTTAGATCCGGTAAAGCGAGATTGAGGCTCCCGGGGCATCCCGCCCTCGACCTATTCTCAAACTTTGGGGGTTTGGTACCTTGCTAATTCAGTTAGCTCGGTAGATGAATGATACTTTTAGTGGGCCAGTTTTGCGCAGAACTGGCGATGAGGATGCTCCTAACGTTTGGTTAAGGCGCTCAACACCTCCCGCTGATCGACAATCACAAAGGTGTGTGGTTCATTAAAACAGCAGGGCGGGGTGGTCATGGAAGTTGAAATCCGCTAAGGACGTGTACTAACTCACCTGCCGAATGGACCAGCCCTGAAAAATGGATAGGCCCAAGTGGGCGGCCGATACCAAACCGTCAATGAAATTAGCATTGACGTGTAGGAGGGCGTGGGGGTTTAGAGAAGGCTTAGTTGTGAAACCTAGCTGGAGCAGCCTCTAGTGCAGATCTTGGTGGTAGTAGCAATTAATCAAATGAGAACTTTGATGACCGAAGTGGATAAGGGTTCCGGGAGAACGAAGCAATTGTCCTCGGGTTAGTCGGCCCTAAAGGAAAAGCTTACCTTCAGAGTGAGGCTTCGCCTCTTGACCTGAAAGGGAAAAAGGCCCAAATTCCTTTACTAGCTGGTGGGGTGTGGTAACGCAACTGAACTTGGGTTGCCAGGAGAAGCCTTGGGACGTCATCTTGCCTTTACAACACCACTCCTTTGAATCGTCTTGTCTGGAGAAAAGGACAGAAAGTTGGCATAGTTTCTACACCTGTTGGAAATCCGCGCGCTTCTATTGGCCTTTGAAACCCCAAGGGATATTTACTCCACTTTCTAGCCGTACCCTAAACCGCATCAGGGTCTCCTAGGTTCGCAGCCTCTGGTCGATAGAATAAGGCGGATGAGGGAAGTCGGCAAATTAGATCTGTACCTTGGAAAAAGTGATTGGCTCGAGGCCGAGCTTTCAGGGCCTAGTGACAGTTCATCGTTCTCGCTTTCTTGGAGTGGGTTTACTGCTTTGGGAGTTGCACGAGCGGTGGCCTACGCTAGGAGCTTCGGCTATCCTGTTGTCATCAACCGGGCTAACTCAGAACTGTACGGACAAGCGGATAGTCCACTGTTTAATTAAAACAAAGCATTGCGATCACGTCACCGCTTTGACGCAATGTGATTTTCGCCCAGTGCCGGAATTCATTGCGATGAAATTCGCCCAAGCGCGGGTGAAACGGCGGGAGTAACTATGACTCTCTTAAGGTAGCCAAATGCCTGTCATTTAATTAGTGACGCGCATGAATGGATCAACGAGATTCCTACTGTCCCCATCCGCCATCTAGCGAAACCACAGCCAAGGGAACGGGCTTGGCAAAATAAGCGGGGAAAGAAGACCCCACTGAGCTTGACCGGAGTCTGACTTTGCGGACTACCTGGGGGTGTAAAAGACGGGAGCTTTGGCGACAGTGAAATACCACGACCTCCACTGTCGCTCTACTTATTCCTGTCACACCGAATCACGTTTTCTACGTGTCTAGATTTAGTCTCTCTTACCGACCGTATCAGAGGACATATTCAGATGGGGAGTTTGGCTGGGGCGGCACATCTGCTAAACTGCAACGCAGATGCCCTAAGGTTGACTCAGAGAGAACAGAAATCTCTCGTAGACTGAAAAGGGGAAAAAGTCAGGATTCTGATTTGCGAGAGTACGAACCGCGAAAGCATGGCCTATCGATCCTTTAAGTCCAGAAAGGTTCTGGCTAGAGGTGACAGAAAAGTTACCACAGGATAACTGGCTTGTGGCAGCCAAGCGTTCATAGCGACGTTGCTTTTTGATCCTTCGATGTCGGTTCTTCTATCATTGAGACGCAGAAGCCCCAAAATGTCGGATTGTTCACCCGCTAATAGGAACGTGAGCTGG</t>
  </si>
  <si>
    <t>GGGCACCACCAGGAGTGGAGCCTGCGGCTTAATTTGAGTCAACACGGGGAATTTTACCAGGCCCGGACATGGTTATGATTGACAGGTGAAGAGATCTTTCTTGATTCTATGGGTGGTGGTGCATGGCCGTTCTTAGTCGGTGAGGTGACTTGTCTGGTTAATTCCGATAACGGACGAGATCTCGGCTGTCTCCCTTTCTCTTCTCATCGTTCCTGAGAAGCTGTATGGAGAAGGACTCTGGGGGGTTTTACCCCAGGTAAGATCGAGGCTATAACAGGTCTGTGATGCCCTTAGATGGCCTGGGCTGCACGTGTGCTACAATGACTCTAGCAACAAGCCTTACATTTCGAAAGAAATGTGAAATCACGAAAATAGTGTCGTGTTAGGATTGAGTTTTGTAATTTTGGCTCATGAACGAGGAATTCCTAGTAAGTATAGTTCATAATACTGTGCTGATTGCGTCCCTGCCCTTGTACACACCGCCCGTCGCTTCAACCGATTGGATGATCCGGTGAATTCTGTGACATTTTATATTGGCATTCGCCTTTGTGAAATGGAAGCGGAATAAGCCTTGTCATCTAGAGGATGAAGAAGTCGTAACACGGTATCCGTAGGTGAACCTGCGGATGGATCATTAAAAAAGTGTTAAAAACACACATCATCTAGAAGGATTTTAGGCATTGACAGACATTAATTAACCTATTTAAAGGTTCAGCGATGGATTACTTGGTTTGCAGTTTGATGAAAGATGTGTCAGTCCGCAGTATGGGTGCCGATCTGAGCATTTTCGAAAGCATCATTTCTGAATGTATTGCACTCGTTAGAGTACAATTAGTCAGTGTTTACGTCTTTGACGTATGAGCGGTTTAAATTCCAGTAATCGTGGAATTCCAAAACTCTTGAGTAAAAACGAATGTTGTTACTTAGAATAGATAATAAATTGAACCTGATCTAATTGAAGCTACCCTCTGAATTTAAGCATATAATTAAGAGGAGGAAAGGAAAACAACAGTGACATCCTGACTAGCGGCGAGCGAAAGGGATTCAAACTGTCCACGAATCATTGCTTGCAATGACATGTGGGAACAATAGCGGAGCGGGATCTCAATTAGTTGTTGAGGTGGAAGACTCAACTGAAAACGGTGACAGGCCTGTTTCTAAGATGAGAACGCAACGTTATGAATAGTAGAGTCAAACTCCTGAGAGTGGAGTTTAAAGCGGGCGTATCTGTGCTCGAAGTTTAAGTATTACTGCAAAACCGATAGCGAATAAGTACCATGAGGGAAAGTTGAAAAGAACTCCGAGAGGAGCTTCAAAAAACATGAAATCGCTGGGCTGGAAGCATAATCAGGAACCGCCTTGTGCAGCATGGTCATGTTTAAATGGCTGTGTTTGGCTTCTGATTATGACCCGTCTTGAAACACGGACCAAGGAGTTATTAAGCTGTGCAAGTGCTAGGGCAAAAAACCCAAGTGCGGAATGAAAGTGATTGCGGAACAAGCAATTCCTGTGAAAATTGTGATAGAGCATAGCTTATTAAACCCGAAAGATGGTGATCTATACTTGGGAAGAGTGAAGCCAGGAGAAATCCTGGTGGAGGCTCAATGTGATACTGACGTGCAAATCGTTCATCCTACCTGAGTATAGGGCGAAAGACTCATCGAACCATCTAGTAGCTGGTTCCCTCCGAAGTTTCCCTTAGGATAGCTTGAACTTTGAAAAGTAGGTTTCGGTAAAGCTTATGATTAGAGGCACTGGGGACATCTTGGTCCTCGACCTATTCTCAAACTTCAAATGAAATCGATAAAGCCAATTAAGTTGATAATTGGCGGTGACTATGTAAGTTCATAGTGGGCCATTTTGGTAAGCAGAACTGGCGATGAGGGATGCTCCTTAAACGCATATAAGACGTCTAATTTCCGCTTATGACAAACCACAAAGGGTGTTGGTTCATTGAGACAGCAGGACGGTGGTCATGGAAGTTGAAATCCGCTAAGGAGTGTGTAATAACTCACCTGCCGAATGGACCAGCCCCGAAAAATTGATGACGGTCAGCGAAAAGTCGATAATGCGTCGTTGTTGTAAAGGAAACAACGTGTAGGAGGGCGTGAATTTACCAGAGAATGTTGTGCGTGAGTGCAACAGGAGGTGAATTTAGTGCAGATCTTGGTGATAGTAGTAAATAGTTGTCTGAGAATGGCAACGGCCTACGTGGATAAGGGTTCCGAAGGAACAGTAGTTGGTTTCGGGTTAGTCGGTTCTAAGGGGTTTATTAGCTCAAATGATTCCCGAAAGAGAATAAGGCTAATATTCCTTAACTCAAAGGACTTTAGAGTGGTAACACAAAGGGCACTGGGGGGTCCGGAGGAGTGTCGTGAGGCGACGTCTATGCCTTTCAACTCAGATATCTCTCGGAATAATGTTGGTTTGAGAAGAGAGTAAACTGTGAAAGAGGATTCTCATTTGAGAGTCTACGACAACAACTCGGGGCCGTTGAAAAACCAGTGGTCTATGGAGTTCTTTGAACCGTACCAATAACTGCAGCAGGTCTCCAAGGTTAGGTACCTTTGGTTTAGCAGAGCAAAGCAGATGAGGGAAGTCGGCAAATTAGATCCGAACCTTCGGTAAAAGGATTGGCTCTGAGGACAGTTATGCTGTCAACTCAGAACTGGTGTGGACCAGAGGAATCTGACTGTTTAATTAAAACAAAGCATTATGATAGGCTTTACTGCTGTTGACATAATGTGATTTCTGCCCAGTGCTCTGAATGTCACGGTGATGAGATTCACTTAAGCGCGGGTAAACGGCGGGAGTAACTATGACTCTCTTAAGGTAGCCAAATGCCTCGTCATCTAATTAGTGACGCGCATGAATGGATTAACGAGATTCCTACTGTCCCCATCTGCTATCTGGCGAAACCACAGCCAAGGGAACGGGCTTGGCATGATAAGCGGGGAAAGAAGACCCTGTTGAGCTTGACTCTAGTCTGATATTGTGGAATAACCTATGGGGTGTAGCATACGGGAGGGCTTGCCCGACAGTGAAATACCACGACCTGTAGCGTTGTTCTGCTTACTCTTTAAATGGTGCAGCTCTGTAAAGAGTTGGATGAATGTCGGTTGATAACTCACATCAAAGAGGACATTGTCAGATGGGGAGTTTGGTTGGGGCGGCACATCTGCTAAATTGCAACGCAGATGTCCAAAGGTTGACTCAGAGAGAACAGAAATCTCTCGTAGACTAAAAGGGGAAAAGTCAGCTTGATTCAGAATTTCATTACGATTATGAACTACGAAAGTATGGCCTATCGATCCTTTAAATCCAGAACAGTTCTGGTTAGAGGTGACAGAAAAGTTACCACAGGGATAACTGGCTTGTGGCAGCCAAGCGTTCATAGCGACGTTGCTTTTTGATCCTTCGATGTCGGCTCTTCCTATCATTGGGACGCAGAAGTCTCAAAGTGTCGGATTGTTCACCCGTTTATAGGGAACGTGAGCTGG</t>
  </si>
  <si>
    <t>&gt;consensus_cl_id_0_total_supporting_reads_7_Run1_Barcode7_Gryllus sigillatus_GregRC / iLSUr</t>
  </si>
  <si>
    <t>&gt;consensus_cl_id_5_total_supporting_reads_2_Run1_Barcode7_Gryllus sigillatus_GregRC / iLSUr</t>
  </si>
  <si>
    <t xml:space="preserve">&gt;consensus_cl_id_2_total_supporting_reads_29_Run1_Barcode7_Gryllus sigillatus_GregF / GregR </t>
  </si>
  <si>
    <t>CCCCCCCCCCCCCCCCCCCCCCCCCCCCCCCCCCCCCCCCCCCCCCCCCCCCCCCCCCCCCCCCCCCCCCCCCCAAATCCGAACAGCACCTGAATTGACGGAAGGGCACCACCAGGAGTGGAGCCTGCGGCTTAATTTGAGTCAACACGGGAATTTTACCAGGCCCGGACATGGTTATGATTGACAGGTGAAGAGATCTTTCTTGATTCTATGGGTGGTGGTGCATGGCCGTTCTTAGTCGGTGAGGTGACTTGTCTGGTTAATTCCGATAACGGACGAGATCTCGGCTGTCTCCTTTCTTCTCATCGTTCCTGAGAAGCTGTATGGAGAAGGACTCTGGGGGTTTTACCCCAGGTAAGATCGAGGCTATAACAGGTCTGTGATGCCCTTAGATGGCCTGGGCTGCACGTGTGCTACAATGACTCTAGCAACAAGCCTTACATTTCGAAAGAAATGTGAAATCACGAAAATAGTGTCGTGTTAGGGATTGAGTTTTGTAATTTTGGCTCATGAACGAGGAATTCCTAGTAAGTATAGTTCATAATACTGTGCTGATTGCGTCCCTGCCCTTTGTACACACCGCCCGTCGCTTCAACCGATTGGATGATCCGGTGAATTCTGTGGACATTTTATATTGGCATTCGCCTTTGTGAAATGGAAGCGGAATAAGCCTTGTCATCTAGAGGATGAAGAAGTCGTAACACGGTATCCGTAGGTGAACCTGCGGATGGATCATTAAAAAAGTGTTAAAAACACACATCATCTAGAAGGATTTTAGGCATTGACAGACATTAATTAACCTATTTAAAGGTTCAGCGATGGATTACTTGGTTTGCAGTTTGATGAAAGATGTGTCAGTCCGCAGTATGGGTGCCGATCTGAGCATTTTCGAAAGCATCATTTCTGAATGTATTGCACTCGTTAGAGTACAATTAGGTCAGTGTTTACGTCTTTGACGTATGAGCGGTTTAAATTCCAGTAATCGTGGAATTCCAAAACTCTTAAGTAAAAACGAATGTTGTTACTTAGAGTAGATAACAAATTGAACCTGATCTAATTGAAGCTACCCTCTGAATTTAAGCATATAATTAAGAGGAGGAAAGGAAAACAACAGTGACATCCTGACTAGCGGCGAGCGAAAGGGATTCAAACTGTCCACGAATCATTGCTTGCAATGACATGTGGGAACAATAGCGGAGCGGGATCTAATTAGTTGTTGAGGTGGAAGACTCAACTGAAAACGGTGACAGGCCTGTTTCTAAGATGAGAACGCAACGTTATGAATAGTAGAGTCAAACTCCTTGAGAGTGGAGTTTAAAGCGGGCGTATCTGTGCTCGAAGTTTAAGTATTACTGCAAAACCGATAGCGAATAAGTACCATGAGGGAAAGTTGAAAAGAACTCCGAGAGGAGCTTCAAAAAACATGAAATCGCTGGGCTGGAAGCATAATCAGGAACCGCCTTGTGCAGCATGGTCATGTTTAAATGGCTGTGTTTGGCTTCTGATTATGACCCGTCTTGAAACACGGACCAAGGAGTTATTAAGCTGTGCAAGTGCTAGGGCAAAAACCCAAGTGCGGAATGAAAGTGATTGCGGAACAAGCAATTCCTGTGAAAATTGTGATAGAGCATAGCTTATTAAACCCGAAAGATGGTGATCTATACTTGGGAAGAGTGAAGCCAGGAGAAATCCTGGTGGAGGCTCAATGTGATACTGACGTGCAAATCGTTCATCCTACCTGAGTATAGGGGCGAAAGACTCATCGAACCATCTAGTAGCTGGTTCCCTCCGAAGTTTCCCTTAGGATAGCTTGAACTTTGAAAAGTAGGTTTCGGTAAAGCTTATGATTAGAGGCACTGGGGACATCTTGGTCCTCGACCTATTCTCAAACTTCAAATGAAATCGATAAAGCCAATTAAGTTGATAATTGGCGGTGACTATGTAAGTTCATAGTGGGCCATTTTTGCAAGCAGAACTGGCGATGAGGGATGCTCCTTAAACGCATATAAGACGTCTAATTTCCGCTTATGACAAACCACAAAGGGTGTTGGTTCATTGAGACAGCAGGACGGTGGTCATGGAAGTTGAAATCCGCTAAGGAGTGTGTAATAACTCACCTGCCGAATGGACCAGCCCCGAAAATTGATGACGGTCAGCGAAAAGTCGATAATGCGTCGTTGTTGCAAAGGAAACAACGTGTAGGAGGGCGTGAATTTACCAGAGAATGTTGTGCGTGAGTGCAACAGGAGGTGAATTTAGTGCAGATCTTGGTGATAGTAGTAAATAGTTGTCTGAGAATGGCAACGGCCTACGTGGATAAGGGTTCCGAAGGAACAGTAGTTGGTTTCGGGTTAGTCGGTTCTAAGGGGTTTATTAGCTCAAATGATTCCTCGAAAGAGAATAAGGCTAATATTCCTTAACTCAAAGGACTTTAGAGTGGTAACACAAAGGGCACTGGGGGGTCCGGAGGAGTGTCGTGAGGCGACGTCTATGCCTTTCAACTCAGATATCTCTCGGAATAATGTTGGTTTGAGAAGAGAGTAAACTGTGAAAGAGGATTCTCATTTGAGAGTCTACGACAACAACTCGGGGCCGTTGAAAAACCAGTGGTCTATGGAGTTCTTGAACCGTACCAATAACTGCAGCAGGTCTCCAAGGTTAGGTACCTTTGGTTTAGCAGAGCAAAGCAGATGAGGGAAGTCGGCAAATTAGATCCGAACCTTCGGTAAAAGGATTGGCTCTGAGGACAGTTATGCTGTCAACTCAGAACTGGTGGACCAGAGGAATCTGACTGTTTAATTAAAACAAAGCATTATGATAGGCTTTACTGCTGTTGACATAATGTGATTTCTGCCCAGTGCTCTGAATGTCACGGTGATGAGATTCACTTAAGCGCGGGTAAACGGCGGGAGTAACTATGACTCTCTTAAGGTAGCCAAATGCCTCGTCATCTAATTAGTGACGCGCATGAATGGATTAACGAGATTCCTACTGTCCCCATCTGCTATCTGGCGAAACCACAGCCAAGGGAACGGGCTTGGCATGATAAGCGGGGAAAGAAGACCCTGTTGAGCTTGACTCTAGTCTGATATTGTGGAATAACCTATGGGGTGTAGCATACGTGGGAGGGCTTGCCCGACAGTGAAATACCACGACCTGTAGCGTTGTTCTGCTTACTTTTAAATGGTGCAGCTCTGTAAAGAGTTGGATGAATGTCGGTTGATAACTCACATCAAAGAGGACATTGTCAGATGGGGAGTTTGGTTGGGGCGGCACATCTGCTAAATTGCAACGCAGATGTCCAAAGGTTGACTCAGAGAGAACAGAAATCTCTCGTAGACTAAAAGGGGAAAAGTCAGCTTGATTCAGAATTTCATTACGATTATGAACTACGAAAGTATGGCCTATCGATCCTTTAAATCCAGAACAGTTCTGGTTAGAGGTGACAGAAAAGTTACCACAGGGATAACTGGCTTGTGGCAGCCAAGCGTTCATAGCGACGTTGCTTTTTGATCCTTCGATGTCGGCTCTTCCTATCATTGGGACGCAGAAGTCTCAAAGTGTCGGATTGTTCACCCGTTTATAGGGAACGTGAGCTGG</t>
  </si>
  <si>
    <t>&gt;consensus_cl_id_21_total_supporting_reads_2_Run1_Barcode5_Gryllus assimilis_KinetF / KinetR</t>
  </si>
  <si>
    <t>&gt;consensus_cl_id_0_total_supporting_reads_2_Run1_Barcode5_Gryllus assimilis_KinetRC / iLSUr</t>
  </si>
  <si>
    <t>&gt;consensus_cl_id_1_total_supporting_reads_3_Run1_Barcode5_Gryllus assimilis_KinetRC / iLSUr</t>
  </si>
  <si>
    <t>&gt;consensus_cl_id_0_total_supporting_reads_3_Run1_Barcode7_Gryllus sigillatus_KinetRC / iLSUr</t>
  </si>
  <si>
    <t>&gt;consensus_cl_id_2_total_supporting_reads_2_Run1_Barcode7_Gryllus sigillatus_KinetF / KinetR</t>
  </si>
  <si>
    <t>ATATGCTTGTTTCAAAGATTAAGCCATGCAAGTCTAAGTATAAGCTTTTAAAGCGGCAAAACTGCGAATAGCTCATTACAACAGTTATAATCTACACGAAGATCATTACCAAATGGATATCCACGGTAATTCTGGAGCTAATACATGCAAAAACACCCCCCTTCGTAGAAGGGTGGCATTCATTAGCATTGGAACCATCCAGGTTTTCGGACCTGTTCTTGGTGATCATAATGACCGAGCGGATCGCATCTTGCGACAGTTCGTTCGAGTTTCTGACCTATCAGCTCCCCGTCGGTAGGGTATTGGCCCTACCGAGGCTGTGACGGGTAACGGGGAATTAGGTTCGATTCCGGAGAGGGAGCCTGAGAGACGGCTACCACATCTAAGGATGGCAGCAGGCGCGCAAATTACCCAATCCCGATACGGGGAGGTAGTGACCAGAAATAGCAACTCAGGACCTTCGGTTCTGTGATTGCAATGAGCGGAAAGCAAAACTATTTGCGAGTACCTATTGGAGGGCAAGTCTGGGCCAGCAGCCGCGGTAATTCCAGCTCCAATAGCGTATATTAAAATTGCTGCAGTTAAAGCGTCCGTAGTTGATTTCGTCCAAATCGGAGAGACGCCTGTCTGACTTCGTGTTAGCTGTGCACTTTCTGTTTCGGACTCGGGTGGGATAGCTTCGGCTGTACCGCTCCCTTGTTACTTTGGAGCAAATTGGAGTGCTCCAACCAGGCTATAGCTTAAACAGCTCAGCATGGAATAACAATATAGGACTGTGATCCTCCTTGTTGGTGACGTGGAACACAAGTAATGGTTGATAAGGACATACGGGGGCATCTGTACTTGAAGGAGAGAGGTGAAATTCTAAGACCCAGCAAAGACAAACAAGTGCGAAAGCATTTGCCCAGTGTGTGCCTGTTAATCAAGGACGAAGTTGGGGGATCGAAGACGCTTAGATACCGTCGTAGTCCCAACTATAAACTATGCCGACTGAGGATCGGAGGCTGTACAGAATACGACTCCTTCGGCACTCCAAGAGAAATCTAAGTCTCTGGGCCCTGGGGGAGTATGGTCGCAAGGCTGAAACTTAAGGGAATTGACGGAAGGGCACCACCAGGAGGGAGCCTGCGGCTTAATTTGACTCAACGCGGGAACCTCACTCAGGCCCGGACATAGTCATGATTGGACAGATTGAGAGTTCTTCGATTCTATGGGTGGTGGTGCATGGCCGTTCTTAGTCGGTGAGGTGACTTGTCTGGTTAATTCCGATAACGGACGAGAACTGACCTACTAACTAGCCTTCGTTTACTTCTGTAAGCGATTGGCTTCTTAGAGGGACTTTGTGAGACTATCACAAGGAAGTTCGAGCCTATAACAGGTCTGTGATGCCCTTAGATGGCCTGGGCTGCACGTGCGCTACAATGACGGAGTCAGCGAGTTTCTACCCTACTCCGTACGGAGCGGGAAATCTTGTGAAACTCCGTCGTGATAGGGATTGACCTTTGCAATTATGGGTCATGAACGAGGAATTCCTAGTATGGACAAGTCATCACCTTGTGCTGATTACGTCCCTGCCCTTTGTACACACCGCCCGTCGCTTCAACCGATTGGATGATCCGGCAAATTACATGGACTTACGTAGCTGCTTTGTTCTACATCGCTCTTCGTGAGGAAATGTTGTGAGCCTTATCATCTAGAGGATGAAGAAGTCGTAACACGGTATCCGTAGGTGAACCTGCGGATGGATCATTCCTGTTTAAACAACAACCAACCAAGCACTCAATGTTAATAACATGACTTAAATCATTGAATAATGAGAATTAAAAACTCTCAGCGATGGATGACTCGACTCTCACACCGAGGAAGGACGCAGCAAACCGCGATAAGCAGTATGACTTGCGAAATTTCGTGATTCACCAGATCTCTGAACGCAAAGGTACTTCTGGCCTCGGCCTGAAGTATGTTTGGCTCGGTATCGTATAGATTTCTCCAATCAATTTCGATTGAATGGATGACATACAGTGTCCTTTACGTCACTGGCTAAATGATGCTACCTGTAAGAACTCATACAGTGAAATGTTGAGGTAATTACAGTAGGCTTCTCAAATCATGATCCGAGCTCAAGAAGGCTACCCGCTGAATTTAAGCATATAATTAAGCGGAGGAAAAGAAACCAACTGGGATTCCCGTAGTAGTGGCGAACGAAGTGGGAAGAGCCCGCGATGTTAATCCGTTTCTGACGGAGTTGCGCATCGAGGTTATAGCTATTGAGAAACTGGGAAGAAGATGCCTGAAAGGCACGCCAGAGAAGGTGACAGCCCTGTTCTTATTCCAGCCATTCTCAAGTACAGCTTAAATCTAATGAGTCACGCTCTTTGGGAGTAGAGCGCAAAATGGGTGGTAACCTCCATCCACGGCTAGATAACGGTGAGAGATCGATAGCAAACAAGTACCGTGAGGGAAAGTTGAAAAGCACTTCGAAAGGAGAGTTAAAAATACCTGAAATCGCTGAGGGGGAAGCGGCTGTCCGTGACCCAATGTTTGAGAGATTTCTCTCATTACATTACTCGACATCACTTCCGTATGTTATGACTTGCTGTCGCTTCGGCTATAACTTTGTTCTTAACATCGAGAAGTGTGGTACGCCTTTGCAAGTTGTCGAGAGTGGCATGTACAGACGACCCGTCTTGAAACACGGACCAAGGAGTTAAACGAAAGTGCGAGTGTAGTGTCAAACCCAGACGCGTAGTGAAAGCAAAAGCTGTGAATTACAATGCAACAGCAGCCGACTCTTGAAGTTCGAGCCTGAGCATTTTCGTTTAGACCCGAAAGATGGTGACCTATACCTGAGTTGGGTGAAGCCAGGGGAAACCCTGGTGGAAGCTCGTAGCGATACTGACGTGCAAATCGTTCGTCAAACTTGGGCATAGGGGCGAAAACTAATCGAACCATCTAGTAGCTGGTTCCTCCGAAGTTTCTCAGGATAGCTGGGTTAATGATCAGTTAGATCCGGTAAAGCGAATGATTAGAGGCCTCGGGGGCATCCCGCCCTCGACCTATTCTCAAACTTTAAATGGGTTTGCTACCTTGCTAATTCAGTTAGCTCGGTAGATGAATGATACTTCTTAGTGGGCCAGTTTGGTAAGCAGAACTGGCGATGAGGGATGCTCCTAACGTTTGGTTAAGGCGCTCAACACTCGCTGATCAGACACCATAAAAGGTGTTGGTTCATTGAAACAGCAGGGCGGTGGTCATGGAAGTTGAAATCCGCTAAGGAGTGTAATAACTCACCTGCCGAATGGACCAGCCCTGAAAATGGATAGCGCTCAAGCGGGCGGCCGATACCAAACCGTCAATGAAATTAGCATTGACGTGTAGGAGGGCGTGGGGGTTGCTGAGAAGGCTTAGTTGTGAAACTAGCTGGAGCAGCCTCTAGTGCAGATCTGGTGGTAGTAGCAATTAATCAAATGAGAACTTTGATGACCGAAGTGGATAAGGGTTCCGGGAGAACAGCAATTGTCCTCGGGTTAGTCGGCCCTAAAGGAAAAGCTTACCTTCAGAGAGTGAGGCTCGCCTCTTGACCTGAAAGGGAAAAAGGCCCAAATTCCTTTACTAGTTGGTGGGGTTGTGGTAACACAACTGAACTTGGGTTGCCAGGAGAAGCCCTGGGGAGCGTTATCTTTGCTCTTTGACAACACCACTCCTTTGAATCGGCTTGTCTGGAGAAAAGGATGAAAAGTTGGCATAGTTTCTTACACCTGTTGGAAATCCGGTGCGCTTCTATTGGCCTTTGAAACCCCAAGGGATATTTACTCCACTTTCTAGCCGTACCCTAAACCGCATCAGGTCTCCTAGGTTCGCAGCCTCTGGTCGATAGAATAAGGCGGATGAGGGAAGTCGGCAAATTAGATCTGTACCTTTGGAAAAAGGATTGGCTCTGAGGGCCGAGCTTTCAGGGCCTAGTGACAGTTCATCGTTCTCGCTTTTCTTGGAGTGGGTTTATCAAGCTTGGGAGTTGCAACGAGCGGTGGCCTACGCTAGGAGCTTCGGCTATCCTGTTGGCATTAACCGGCTAACTCAGAACTGGTACGGACAAGAGGAATCTGACTGTTTAATTAAACAAAGCATTGCGACAAGCGGCAACGCTTTTTACGCAATGTGATTTCTGCCCAGTGCTCTGAATGTCATTGCGATGAAATTCGCCCAAGCGCGGGTAAACGGCGGGGAGTAACTATGACTCTCTTAAGGTAGCCAAATGCCCCGTCATTTAATTAGTGACGCGCATGAATGGATCAACGAGATTCCTACTGTCCCCATCCGCCATCTAGCGAAACCACAGCCAAGGGAACGGGCTTGGCAAAATAAGCGGGGAAAGAAGACCCTGTTGAGCTTGACTCTAGTCTGACTTTGTGGAGTGACTTGGGGGTGTAGCATACGTGGGAGCTTTGGCGACAGTGAAATACCACGACCTCCACTGTCGCTCTACTTACTTGTCACAACGAATCACGTTTTCTTACGTGTTCTAGATTTAAGGTTCTCTCTTACCGATCGTATCAGAGGACATATTCAGATGGGGAGTTGGGGGGCGGCACATCTGCTAAACTGCAACGCAGATGCCCTAAGGTTGACTCAGAGAGAACAGAAATCTCTCGTAGACTGAAAGGGGAAAAGTCAGCTTGATTCTGATTTCCAGTGCAAGAATACGAACTGCGAAAGCATGGCCTATCGATCCTTTAAGTCCAGAAAGGTTCTGGCTAGAGGTGACAGAAAAGTTACCACAGGGATAACTGGCTTGTGGCAGCCAAGCGTTCATAGCGACGTTGCTTTTTGATCCTTCGATGTCGGCTCTTCCTATCATTGAGACGCAGAAGTCTCAAAATGTCGGATTGTTCACCTGCTAATAGGGAACGTGAGCTGG</t>
  </si>
  <si>
    <t>CTGCCAGTAGTCATATGCTTGTTTCAAAGATTATTTCATGCAAGTCTAAGCATAAGCTTTTATACGGCAAAAACTGCGAATAGCTCATTACAACAGTTATAATCTACACGAAGATCATTACCAAATGGATATCCATGTATTCTGGAGCTAATACATGCAAAAACACCCGACTTCGTAGAAGGGTGGCATTCATTAGCATTGGAACCATCCAGGTTTTCGGGACCTGTTCTTGGTGATCATAATGACCGAGCGGATCGCATCTTGCGACAGTTCGTTCGAGTTTCTGACCCATCAGCTCCCGGGGTCGGTAGGGTATTGGCCTACCGGAGGCGCTGTGACGGGTAACGGGGAATTAGGGTTCGATTCCGGAGAGGGAGCCTGAGAGACGGCTACCACATCTAAGGATGGCAGCAGGCGCGCAAATTACCCAATCCCGATACGGGGAGGTAGTGACTAGAAATAGCAACTCAGGACCTTCGGTTCTGTGATTGCAATGAGCGGAAAAGCAAAACTATTTGCGAGTACCTATTGGAGGGCAAGTCTGGTGCCAGCAGCCGCGGTAATTCCAGCTCCAATAGCGTATTAAAATTGCTGCAGTTAAAGGGGTCTCAGAAGTTGGATTTCGTCCAAATCGGAGAGACGCCTGTCTGACTTCGTGTTAGTCAGTGCACTTTCTGTTTCGGACTCGGGTGGGATAGCTTCGGCTGTACCGCTCTGTTACTTTGAGCAAATTGAGTGCTCCAACCAGGCTATAGCTTAAACAGCTCAGCAGCGGAATAACAATATAGGATCAGATCCTCCTTGTTGGTGACGTGGAACACAAGTAATGGTTGATAAGGACATACGGGGGCATCTGTACTTGCTGGAGAGAGGTGAAATTCTAAGACCCAGCAAAGACAAACAAGTGCGAAAGCATTTGCCCAGTGTGTGCCTGTTAATCAAGGACGAAAGTTGGGGGATCGAAGACGCTTTAGATACCGTCGTAGTCCCAACTATAAACTATGCCGGGACTGAGGATCGGAGGCTGTACAAATACGACTCCTTCGGCACTCCAAGAGAAATCTAAGCCCTGGGCCCTGGGGAGTATGGTCGCAAGGCTGAAACTTAAAGGAATTGACGGAAGGGCACCACCAGGAGTGGAGCCTGCGGCTTAATTTGACTCAACGCGGGGAACCTCACCAGGCTCCGACATAGTCAAGATTGACAGATTGAGAGTTCTTTCTCGATTCTATGGGTGGTGGTGCATGGCCGTTCTTAGTCGGTGAGGTGACTTGTCTGGTTAATTCCGATAACGGACGAGACCTCGATCACTAACTAGCCTTCGTTTACTTCTGTAAGCGATTGGCTTCTTAGGAGGGACTTTGTGAGACTATCACAAGGAAGTTCGAGCCTATAACAGGTCTGTGATGCCCTTAGATGGCCTGGGCTGCACGTGCGCTACAATGACGGAGCCTGTGAGTTTCTGCACTCCTACTCCGTACGGAGCGGGAAAATTGTGAAACTCCGTCGTGATAGGGATTGACCTTTGCAATTATGGGTCATGAACGAGGAATTCCCAAGTAAGGACAAGTCATCACCAGGTGCTGATTACGTCCCTGCCCTTGTACACACCGCCCGTCGCTTCAACCGATTGGATGATCCGGCAAATTACATGGACTTTTACGGAAGCCGCTTTGTTCTACATCGCTCTTCGTGAGGAAATGTTGTGAGCCTTATCATCTAGAGGATGAAGAAGTCGTAACACGGTATCCGTAGGTGAACCTGCAGAAGGATCAGGTGCTGGTGTTACCGTGGGAATGAATCCTTTAACCTTAGCAATACGTAACTGAACGAAGTACAAT</t>
  </si>
  <si>
    <t>Cat_seq_id</t>
  </si>
  <si>
    <t>Run1_B1_Aphomia_sociella_Greg</t>
  </si>
  <si>
    <t>Run1_B2_Gryllus_bimaculatus_Greg</t>
  </si>
  <si>
    <t>Run1_B5_Gryllus_assimilis_Greg1</t>
  </si>
  <si>
    <t>Run1_B7_Gryllus_sigillatus_Greg1</t>
  </si>
  <si>
    <t>Run1_B5_Gryllus_assimilis_Greg2</t>
  </si>
  <si>
    <t>Run1_B5_Gryllus_assimilis_Greg3</t>
  </si>
  <si>
    <t>Run1_B5_Gryllus_assimilis_Greg4</t>
  </si>
  <si>
    <t>Run1_B7_Gryllus_sigillatus_Greg2</t>
  </si>
  <si>
    <t>Run1_B5_Gryllus_assimilis_Kinet1</t>
  </si>
  <si>
    <t>Run1_B5_Gryllus_assimilis_Kinet2</t>
  </si>
  <si>
    <t>Run1_B7_Gryllus_sigillatus_Kinet</t>
  </si>
  <si>
    <t>&gt;Run1_B1_Aphomia_sociella_Greg</t>
  </si>
  <si>
    <t>&gt;Run1_B2_Gryllus_bimaculatus_Greg</t>
  </si>
  <si>
    <t>&gt;Run1_B5_Gryllus_assimilis_Greg1</t>
  </si>
  <si>
    <t>&gt;Run1_B5_Gryllus_assimilis_Greg2</t>
  </si>
  <si>
    <t>&gt;Run1_B5_Gryllus_assimilis_Greg3</t>
  </si>
  <si>
    <t>&gt;Run1_B5_Gryllus_assimilis_Greg4</t>
  </si>
  <si>
    <t>&gt;Run1_B7_Gryllus_sigillatus_Greg1</t>
  </si>
  <si>
    <t>&gt;Run1_B7_Gryllus_sigillatus_Greg2</t>
  </si>
  <si>
    <t>&gt;Run1_B5_Gryllus_assimilis_Kinet1</t>
  </si>
  <si>
    <t>&gt;Run1_B5_Gryllus_assimilis_Kinet2</t>
  </si>
  <si>
    <t>&gt;Run1_B7_Gryllus_sigillatus_Kinet</t>
  </si>
  <si>
    <t>18S File</t>
  </si>
  <si>
    <t>28S File</t>
  </si>
  <si>
    <t>Included in phylo.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</si>
</sst>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0" x14ac:knownFonts="1">
    <font>
      <sz val="11"/>
      <color theme="1"/>
      <name val="Calibri"/>
      <family val="2"/>
      <scheme val="minor"/>
    </font>
    <font>
      <b/>
      <sz val="11"/>
      <color theme="0"/>
      <name val="Calibri"/>
      <family val="2"/>
      <scheme val="minor"/>
    </font>
    <font>
      <b/>
      <sz val="11"/>
      <color rgb="FFFFFFFF"/>
      <name val="Calibri"/>
      <family val="2"/>
      <scheme val="minor"/>
    </font>
    <font>
      <sz val="11"/>
      <name val="Calibri"/>
      <family val="2"/>
      <scheme val="minor"/>
    </font>
    <font>
      <b/>
      <sz val="8"/>
      <color rgb="FF000000"/>
      <name val="Times New Roman"/>
      <family val="1"/>
    </font>
    <font>
      <sz val="8"/>
      <color rgb="FF000000"/>
      <name val="Times New Roman"/>
      <family val="1"/>
    </font>
    <font>
      <b/>
      <sz val="11"/>
      <color theme="1"/>
      <name val="Calibri"/>
      <family val="2"/>
      <scheme val="minor"/>
    </font>
    <font>
      <sz val="8"/>
      <name val="Calibri"/>
      <family val="2"/>
      <scheme val="minor"/>
    </font>
    <font>
      <b/>
      <sz val="14"/>
      <color rgb="FFFF0000"/>
      <name val="Calibri"/>
      <family val="2"/>
      <scheme val="minor"/>
    </font>
    <font>
      <sz val="13"/>
      <color theme="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2"/>
        <bgColor indexed="64"/>
      </patternFill>
    </fill>
  </fills>
  <borders count="23">
    <border>
      <left/>
      <right/>
      <top/>
      <bottom/>
      <diagonal/>
    </border>
    <border>
      <left style="medium">
        <color rgb="FFCCCCCC"/>
      </left>
      <right style="medium">
        <color rgb="FFCCCCCC"/>
      </right>
      <top style="medium">
        <color rgb="FFCCCCCC"/>
      </top>
      <bottom style="medium">
        <color rgb="FF9CC2E5"/>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medium">
        <color rgb="FF7F7F7F"/>
      </left>
      <right style="medium">
        <color rgb="FF7F7F7F"/>
      </right>
      <top style="thick">
        <color indexed="64"/>
      </top>
      <bottom style="thick">
        <color indexed="64"/>
      </bottom>
      <diagonal/>
    </border>
    <border>
      <left style="medium">
        <color rgb="FF7F7F7F"/>
      </left>
      <right style="medium">
        <color rgb="FF7F7F7F"/>
      </right>
      <top/>
      <bottom style="thick">
        <color indexed="64"/>
      </bottom>
      <diagonal/>
    </border>
    <border>
      <left style="medium">
        <color rgb="FF7F7F7F"/>
      </left>
      <right style="medium">
        <color rgb="FF7F7F7F"/>
      </right>
      <top/>
      <bottom/>
      <diagonal/>
    </border>
    <border>
      <left/>
      <right style="medium">
        <color rgb="FF7F7F7F"/>
      </right>
      <top/>
      <bottom style="medium">
        <color rgb="FF7F7F7F"/>
      </bottom>
      <diagonal/>
    </border>
    <border>
      <left/>
      <right style="medium">
        <color rgb="FF7F7F7F"/>
      </right>
      <top/>
      <bottom style="thick">
        <color indexed="64"/>
      </bottom>
      <diagonal/>
    </border>
    <border>
      <left style="medium">
        <color rgb="FF7F7F7F"/>
      </left>
      <right style="medium">
        <color rgb="FF7F7F7F"/>
      </right>
      <top style="thick">
        <color indexed="64"/>
      </top>
      <bottom/>
      <diagonal/>
    </border>
    <border>
      <left/>
      <right style="medium">
        <color rgb="FF7F7F7F"/>
      </right>
      <top/>
      <bottom style="medium">
        <color indexed="64"/>
      </bottom>
      <diagonal/>
    </border>
    <border>
      <left/>
      <right/>
      <top/>
      <bottom style="thin">
        <color theme="4" tint="0.39997558519241921"/>
      </bottom>
      <diagonal/>
    </border>
    <border>
      <left/>
      <right/>
      <top style="thin">
        <color theme="4" tint="0.39997558519241921"/>
      </top>
      <bottom/>
      <diagonal/>
    </border>
    <border>
      <left style="medium">
        <color rgb="FF7F7F7F"/>
      </left>
      <right/>
      <top/>
      <bottom style="thick">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7F7F7F"/>
      </left>
      <right/>
      <top style="thick">
        <color indexed="64"/>
      </top>
      <bottom/>
      <diagonal/>
    </border>
    <border>
      <left style="medium">
        <color indexed="64"/>
      </left>
      <right/>
      <top style="medium">
        <color indexed="64"/>
      </top>
      <bottom/>
      <diagonal/>
    </border>
    <border>
      <left style="medium">
        <color indexed="64"/>
      </left>
      <right style="medium">
        <color rgb="FF7F7F7F"/>
      </right>
      <top/>
      <bottom style="medium">
        <color indexed="64"/>
      </bottom>
      <diagonal/>
    </border>
    <border>
      <left/>
      <right style="medium">
        <color indexed="64"/>
      </right>
      <top/>
      <bottom style="medium">
        <color indexed="64"/>
      </bottom>
      <diagonal/>
    </border>
    <border>
      <left/>
      <right/>
      <top style="thin">
        <color theme="4" tint="0.39997558519241921"/>
      </top>
      <bottom style="thin">
        <color theme="4" tint="0.39997558519241921"/>
      </bottom>
      <diagonal/>
    </border>
  </borders>
  <cellStyleXfs count="1">
    <xf numFmtId="0" fontId="0" fillId="0" borderId="0"/>
  </cellStyleXfs>
  <cellXfs count="57">
    <xf numFmtId="0" fontId="0" fillId="0" borderId="0" xfId="0"/>
    <xf numFmtId="0" fontId="0" fillId="0" borderId="0" xfId="0" applyAlignment="1">
      <alignment horizontal="left"/>
    </xf>
    <xf numFmtId="164" fontId="0" fillId="0" borderId="0" xfId="0" applyNumberFormat="1"/>
    <xf numFmtId="0" fontId="0" fillId="0" borderId="0" xfId="0" pivotButton="1"/>
    <xf numFmtId="0" fontId="5" fillId="0" borderId="7" xfId="0" applyFont="1" applyBorder="1" applyAlignment="1">
      <alignment horizontal="left" vertical="center"/>
    </xf>
    <xf numFmtId="0" fontId="5" fillId="0" borderId="7" xfId="0" applyFont="1" applyBorder="1" applyAlignment="1">
      <alignment horizontal="center" vertical="center" wrapText="1"/>
    </xf>
    <xf numFmtId="0" fontId="5" fillId="0" borderId="7" xfId="0" applyFont="1" applyBorder="1" applyAlignment="1">
      <alignment horizontal="center" vertical="center"/>
    </xf>
    <xf numFmtId="0" fontId="0" fillId="0" borderId="7" xfId="0" applyBorder="1" applyAlignment="1">
      <alignment vertical="center"/>
    </xf>
    <xf numFmtId="0" fontId="5" fillId="0" borderId="8" xfId="0" applyFont="1" applyBorder="1" applyAlignment="1">
      <alignment horizontal="left" vertical="center"/>
    </xf>
    <xf numFmtId="0" fontId="5" fillId="0" borderId="8" xfId="0" applyFont="1" applyBorder="1" applyAlignment="1">
      <alignment horizontal="center" vertical="center" wrapText="1"/>
    </xf>
    <xf numFmtId="0" fontId="5" fillId="0" borderId="8" xfId="0" applyFont="1" applyBorder="1" applyAlignment="1">
      <alignment horizontal="center" vertical="center"/>
    </xf>
    <xf numFmtId="0" fontId="0" fillId="0" borderId="8" xfId="0" applyBorder="1" applyAlignment="1">
      <alignment vertical="center"/>
    </xf>
    <xf numFmtId="0" fontId="5" fillId="0" borderId="9" xfId="0" applyFont="1" applyBorder="1" applyAlignment="1">
      <alignment horizontal="left" vertical="center" wrapText="1"/>
    </xf>
    <xf numFmtId="0" fontId="6" fillId="2" borderId="11" xfId="0" applyFont="1" applyFill="1" applyBorder="1"/>
    <xf numFmtId="0" fontId="0" fillId="0" borderId="0" xfId="0" applyAlignment="1">
      <alignment horizontal="right"/>
    </xf>
    <xf numFmtId="14" fontId="0" fillId="0" borderId="0" xfId="0" applyNumberFormat="1" applyAlignment="1">
      <alignment horizontal="right"/>
    </xf>
    <xf numFmtId="1" fontId="0" fillId="0" borderId="0" xfId="0" applyNumberFormat="1"/>
    <xf numFmtId="164" fontId="0" fillId="0" borderId="0" xfId="0" applyNumberFormat="1" applyAlignment="1">
      <alignment horizontal="right"/>
    </xf>
    <xf numFmtId="0" fontId="0" fillId="0" borderId="0" xfId="0" applyAlignment="1">
      <alignment wrapText="1"/>
    </xf>
    <xf numFmtId="0" fontId="3" fillId="0" borderId="0" xfId="0" applyFont="1"/>
    <xf numFmtId="0" fontId="0" fillId="0" borderId="2" xfId="0" applyBorder="1" applyAlignment="1">
      <alignment horizontal="right"/>
    </xf>
    <xf numFmtId="0" fontId="0" fillId="0" borderId="3" xfId="0" applyBorder="1" applyAlignment="1">
      <alignment horizontal="right"/>
    </xf>
    <xf numFmtId="0" fontId="0" fillId="0" borderId="2" xfId="0" applyBorder="1"/>
    <xf numFmtId="1" fontId="3" fillId="0" borderId="0" xfId="0" applyNumberFormat="1" applyFont="1"/>
    <xf numFmtId="0" fontId="3" fillId="0" borderId="0" xfId="0" applyFont="1" applyAlignment="1">
      <alignment horizontal="left"/>
    </xf>
    <xf numFmtId="164" fontId="3" fillId="0" borderId="0" xfId="0" applyNumberFormat="1" applyFont="1"/>
    <xf numFmtId="164" fontId="3" fillId="0" borderId="0" xfId="0" applyNumberFormat="1" applyFont="1" applyAlignment="1">
      <alignment horizontal="right"/>
    </xf>
    <xf numFmtId="1" fontId="0" fillId="0" borderId="0" xfId="0" applyNumberFormat="1" applyAlignment="1">
      <alignment horizontal="right"/>
    </xf>
    <xf numFmtId="49" fontId="0" fillId="0" borderId="0" xfId="0" applyNumberFormat="1"/>
    <xf numFmtId="0" fontId="1" fillId="0" borderId="2" xfId="0" applyFont="1" applyBorder="1"/>
    <xf numFmtId="0" fontId="2" fillId="0" borderId="1" xfId="0" applyFont="1" applyBorder="1" applyAlignment="1">
      <alignment wrapText="1"/>
    </xf>
    <xf numFmtId="0" fontId="8" fillId="0" borderId="0" xfId="0" applyFont="1" applyAlignment="1">
      <alignment horizontal="left" vertical="center"/>
    </xf>
    <xf numFmtId="0" fontId="6" fillId="2" borderId="12" xfId="0" applyFont="1" applyFill="1" applyBorder="1" applyAlignment="1">
      <alignment horizontal="left"/>
    </xf>
    <xf numFmtId="0" fontId="6" fillId="2" borderId="12" xfId="0" applyFont="1" applyFill="1" applyBorder="1"/>
    <xf numFmtId="0" fontId="5" fillId="0" borderId="4" xfId="0" applyFont="1" applyBorder="1" applyAlignment="1">
      <alignment horizontal="left" vertical="center" wrapText="1"/>
    </xf>
    <xf numFmtId="0" fontId="5" fillId="0" borderId="0" xfId="0" applyFont="1" applyAlignment="1">
      <alignment horizontal="justify" vertical="center"/>
    </xf>
    <xf numFmtId="0" fontId="0" fillId="3" borderId="0" xfId="0" applyFill="1" applyAlignment="1">
      <alignment horizontal="left"/>
    </xf>
    <xf numFmtId="0" fontId="0" fillId="0" borderId="14" xfId="0" applyBorder="1"/>
    <xf numFmtId="0" fontId="4" fillId="0" borderId="10" xfId="0" applyFont="1" applyBorder="1" applyAlignment="1">
      <alignment horizontal="center" vertical="center"/>
    </xf>
    <xf numFmtId="0" fontId="4" fillId="0" borderId="10" xfId="0" applyFont="1" applyBorder="1" applyAlignment="1">
      <alignment horizontal="center" vertical="center" wrapText="1"/>
    </xf>
    <xf numFmtId="0" fontId="4" fillId="0" borderId="21" xfId="0" applyFont="1" applyBorder="1" applyAlignment="1">
      <alignment horizontal="center" vertical="center" wrapText="1"/>
    </xf>
    <xf numFmtId="0" fontId="0" fillId="0" borderId="22" xfId="0" applyBorder="1"/>
    <xf numFmtId="0" fontId="6" fillId="2" borderId="11" xfId="0" applyFont="1" applyFill="1" applyBorder="1" applyAlignment="1">
      <alignment horizontal="center" wrapText="1"/>
    </xf>
    <xf numFmtId="0" fontId="6" fillId="2" borderId="0" xfId="0" applyFont="1" applyFill="1" applyAlignment="1">
      <alignment horizontal="center" wrapText="1"/>
    </xf>
    <xf numFmtId="0" fontId="9" fillId="0" borderId="0" xfId="0" applyFont="1" applyAlignment="1">
      <alignment vertical="center" wrapText="1"/>
    </xf>
    <xf numFmtId="0" fontId="5" fillId="0" borderId="9" xfId="0" applyFont="1" applyBorder="1" applyAlignment="1">
      <alignment horizontal="left" vertical="center" wrapText="1"/>
    </xf>
    <xf numFmtId="0" fontId="5" fillId="0" borderId="5" xfId="0" applyFont="1" applyBorder="1" applyAlignment="1">
      <alignment horizontal="left" vertical="center" wrapText="1"/>
    </xf>
    <xf numFmtId="0" fontId="4" fillId="0" borderId="16"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7"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20" xfId="0" applyFont="1" applyBorder="1" applyAlignment="1">
      <alignment horizontal="center" vertical="center" wrapText="1"/>
    </xf>
    <xf numFmtId="0" fontId="4" fillId="0" borderId="9" xfId="0" applyFont="1" applyBorder="1" applyAlignment="1">
      <alignment horizontal="center" vertical="center" wrapText="1"/>
    </xf>
    <xf numFmtId="0" fontId="4" fillId="0" borderId="5" xfId="0" applyFont="1" applyBorder="1" applyAlignment="1">
      <alignment horizontal="center" vertical="center" wrapText="1"/>
    </xf>
    <xf numFmtId="0" fontId="4" fillId="0" borderId="18" xfId="0" applyFont="1" applyBorder="1" applyAlignment="1">
      <alignment horizontal="center" vertical="center"/>
    </xf>
    <xf numFmtId="0" fontId="4" fillId="0" borderId="13" xfId="0" applyFont="1" applyBorder="1" applyAlignment="1">
      <alignment horizontal="center" vertical="center"/>
    </xf>
    <xf numFmtId="0" fontId="5" fillId="0" borderId="6" xfId="0" applyFont="1" applyBorder="1" applyAlignment="1">
      <alignment horizontal="left" vertical="center" wrapText="1"/>
    </xf>
  </cellXfs>
  <cellStyles count="1">
    <cellStyle name="Normal" xfId="0" builtinId="0"/>
  </cellStyles>
  <dxfs count="57">
    <dxf>
      <fill>
        <patternFill patternType="solid">
          <fgColor indexed="64"/>
          <bgColor theme="9" tint="0.59999389629810485"/>
        </patternFill>
      </fill>
    </dxf>
    <dxf>
      <fill>
        <patternFill patternType="none">
          <fgColor indexed="64"/>
          <bgColor auto="1"/>
        </patternFill>
      </fill>
    </dxf>
    <dxf>
      <fill>
        <patternFill patternType="solid">
          <fgColor indexed="64"/>
          <bgColor theme="9" tint="0.59999389629810485"/>
        </patternFill>
      </fill>
    </dxf>
    <dxf>
      <fill>
        <patternFill patternType="none">
          <fgColor indexed="64"/>
          <bgColor auto="1"/>
        </patternFill>
      </fill>
    </dxf>
    <dxf>
      <fill>
        <patternFill patternType="solid">
          <fgColor indexed="64"/>
          <bgColor theme="9" tint="0.59999389629810485"/>
        </patternFill>
      </fill>
    </dxf>
    <dxf>
      <fill>
        <patternFill patternType="none">
          <fgColor indexed="64"/>
          <bgColor auto="1"/>
        </patternFill>
      </fill>
    </dxf>
    <dxf>
      <fill>
        <patternFill patternType="solid">
          <fgColor indexed="64"/>
          <bgColor theme="9" tint="0.59999389629810485"/>
        </patternFill>
      </fill>
    </dxf>
    <dxf>
      <fill>
        <patternFill patternType="none">
          <fgColor indexed="64"/>
          <bgColor auto="1"/>
        </patternFill>
      </fill>
    </dxf>
    <dxf>
      <alignment horizontal="general" vertical="bottom" textRotation="0" wrapText="0" indent="0" justifyLastLine="0" shrinkToFit="0" readingOrder="0"/>
    </dxf>
    <dxf>
      <fill>
        <patternFill patternType="none">
          <fgColor indexed="64"/>
          <bgColor auto="1"/>
        </patternFill>
      </fill>
    </dxf>
    <dxf>
      <alignment horizontal="general" vertical="bottom"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auto="1"/>
        </patternFill>
      </fill>
    </dxf>
    <dxf>
      <alignment horizontal="general" vertical="bottom" textRotation="0" wrapText="0" indent="0" justifyLastLine="0" shrinkToFit="0" readingOrder="0"/>
    </dxf>
    <dxf>
      <fill>
        <patternFill patternType="none">
          <fgColor indexed="64"/>
          <bgColor auto="1"/>
        </patternFill>
      </fill>
    </dxf>
    <dxf>
      <alignment horizontal="general" vertical="bottom" textRotation="0" wrapText="0" indent="0" justifyLastLine="0" shrinkToFit="0" readingOrder="0"/>
    </dxf>
    <dxf>
      <fill>
        <patternFill patternType="none">
          <fgColor indexed="64"/>
          <bgColor auto="1"/>
        </patternFill>
      </fill>
    </dxf>
    <dxf>
      <alignment horizontal="general" vertical="bottom"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numFmt numFmtId="164" formatCode="0.0"/>
      <alignment horizontal="right" vertical="bottom" textRotation="0" wrapText="0" indent="0" justifyLastLine="0" shrinkToFit="0" readingOrder="0"/>
    </dxf>
    <dxf>
      <numFmt numFmtId="164" formatCode="0.0"/>
      <fill>
        <patternFill patternType="none">
          <fgColor indexed="64"/>
          <bgColor auto="1"/>
        </patternFill>
      </fill>
      <alignment horizontal="right" vertical="bottom" textRotation="0" wrapText="0" indent="0" justifyLastLine="0" shrinkToFit="0" readingOrder="0"/>
    </dxf>
    <dxf>
      <fill>
        <patternFill patternType="none">
          <fgColor indexed="64"/>
          <bgColor auto="1"/>
        </patternFill>
      </fill>
    </dxf>
    <dxf>
      <fill>
        <patternFill patternType="solid">
          <fgColor indexed="64"/>
          <bgColor theme="9" tint="0.59999389629810485"/>
        </patternFill>
      </fill>
    </dxf>
    <dxf>
      <fill>
        <patternFill patternType="none">
          <fgColor indexed="64"/>
          <bgColor auto="1"/>
        </patternFill>
      </fill>
    </dxf>
    <dxf>
      <fill>
        <patternFill patternType="none">
          <fgColor indexed="64"/>
          <bgColor auto="1"/>
        </patternFill>
      </fill>
    </dxf>
    <dxf>
      <numFmt numFmtId="164" formatCode="0.0"/>
      <alignment horizontal="general" vertical="bottom" textRotation="0" wrapText="0" indent="0" justifyLastLine="0" shrinkToFit="0" readingOrder="0"/>
    </dxf>
    <dxf>
      <numFmt numFmtId="164" formatCode="0.0"/>
      <fill>
        <patternFill patternType="none">
          <fgColor indexed="64"/>
          <bgColor auto="1"/>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auto="1"/>
        </patternFill>
      </fill>
      <alignment vertical="bottom" textRotation="0" wrapText="0" indent="0" justifyLastLine="0" shrinkToFit="0" readingOrder="0"/>
    </dxf>
    <dxf>
      <alignment horizontal="righ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solid">
          <fgColor indexed="64"/>
          <bgColor theme="9" tint="0.59999389629810485"/>
        </patternFill>
      </fill>
    </dxf>
    <dxf>
      <fill>
        <patternFill patternType="none">
          <fgColor indexed="64"/>
          <bgColor auto="1"/>
        </patternFill>
      </fill>
    </dxf>
    <dxf>
      <fill>
        <patternFill patternType="none">
          <fgColor indexed="64"/>
          <bgColor auto="1"/>
        </patternFill>
      </fill>
      <alignment horizontal="general" vertical="bottom" textRotation="0" indent="0" justifyLastLine="0" shrinkToFit="0" readingOrder="0"/>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dxf>
    <dxf>
      <numFmt numFmtId="1" formatCode="0"/>
      <fill>
        <patternFill patternType="none">
          <fgColor indexed="64"/>
          <bgColor auto="1"/>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left" vertical="bottom"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powerPivotData" Target="model/item.data"/><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douard (eb845)" refreshedDate="45746.517333333337" backgroundQuery="1" createdVersion="8" refreshedVersion="8" minRefreshableVersion="3" recordCount="0" supportSubquery="1" supportAdvancedDrill="1" xr:uid="{3481ACBA-DDAB-4572-93A3-F30FBF082C85}">
  <cacheSource type="external" connectionId="1"/>
  <cacheFields count="6">
    <cacheField name="[Table13].[Supported_by_x_reads].[Supported_by_x_reads]" caption="Supported_by_x_reads" numFmtId="0" hierarchy="22" level="1">
      <sharedItems containsSemiMixedTypes="0" containsNonDate="0" containsString="0"/>
    </cacheField>
    <cacheField name="[Table13].[Primers].[Primers]" caption="Primers" numFmtId="0" hierarchy="9" level="1">
      <sharedItems count="2">
        <s v="GregF / GregR"/>
        <s v="GregRC / iLSUr"/>
      </sharedItems>
    </cacheField>
    <cacheField name="[Table13].[Blast_Upper_Taxon].[Blast_Upper_Taxon]" caption="Blast_Upper_Taxon" numFmtId="0" hierarchy="30" level="1">
      <sharedItems containsSemiMixedTypes="0" containsNonDate="0" containsString="0"/>
    </cacheField>
    <cacheField name="[Table13].[Included in phylo. analysis].[Included in phylo. analysis]" caption="Included in phylo. analysis" numFmtId="0" hierarchy="31" level="1">
      <sharedItems containsSemiMixedTypes="0" containsNonDate="0" containsString="0"/>
    </cacheField>
    <cacheField name="[Table13].[Barcode_ID_uniq].[Barcode_ID_uniq]" caption="Barcode_ID_uniq" numFmtId="0" hierarchy="3" level="1">
      <sharedItems count="14">
        <s v="1_1"/>
        <s v="1_2"/>
        <s v="1_5"/>
        <s v="1_7"/>
        <s v="2_3"/>
        <s v="2_4"/>
        <s v="3_1"/>
        <s v="3_2"/>
        <s v="3_3"/>
        <s v="3_4"/>
        <s v="3_5"/>
        <s v="3_6"/>
        <s v="3_7"/>
        <s v="3_8"/>
      </sharedItems>
    </cacheField>
    <cacheField name="[Measures].[Count of Sequence]" caption="Count of Sequence" numFmtId="0" hierarchy="42" level="32767"/>
  </cacheFields>
  <cacheHierarchies count="43">
    <cacheHierarchy uniqueName="[Table13].[Nanopore_Run]" caption="Nanopore_Run" attribute="1" defaultMemberUniqueName="[Table13].[Nanopore_Run].[All]" allUniqueName="[Table13].[Nanopore_Run].[All]" dimensionUniqueName="[Table13]" displayFolder="" count="0" memberValueDatatype="20" unbalanced="0"/>
    <cacheHierarchy uniqueName="[Table13].[Nanopore_Run_Date]" caption="Nanopore_Run_Date" attribute="1" time="1" defaultMemberUniqueName="[Table13].[Nanopore_Run_Date].[All]" allUniqueName="[Table13].[Nanopore_Run_Date].[All]" dimensionUniqueName="[Table13]" displayFolder="" count="0" memberValueDatatype="7" unbalanced="0"/>
    <cacheHierarchy uniqueName="[Table13].[Barcode_ID]" caption="Barcode_ID" attribute="1" defaultMemberUniqueName="[Table13].[Barcode_ID].[All]" allUniqueName="[Table13].[Barcode_ID].[All]" dimensionUniqueName="[Table13]" displayFolder="" count="0" memberValueDatatype="20" unbalanced="0"/>
    <cacheHierarchy uniqueName="[Table13].[Barcode_ID_uniq]" caption="Barcode_ID_uniq" attribute="1" defaultMemberUniqueName="[Table13].[Barcode_ID_uniq].[All]" allUniqueName="[Table13].[Barcode_ID_uniq].[All]" dimensionUniqueName="[Table13]" displayFolder="" count="2" memberValueDatatype="130" unbalanced="0">
      <fieldsUsage count="2">
        <fieldUsage x="-1"/>
        <fieldUsage x="4"/>
      </fieldsUsage>
    </cacheHierarchy>
    <cacheHierarchy uniqueName="[Table13].[Reads count]" caption="Reads count" attribute="1" defaultMemberUniqueName="[Table13].[Reads count].[All]" allUniqueName="[Table13].[Reads count].[All]" dimensionUniqueName="[Table13]" displayFolder="" count="0" memberValueDatatype="20" unbalanced="0"/>
    <cacheHierarchy uniqueName="[Table13].[Reads count unique]" caption="Reads count unique" attribute="1" defaultMemberUniqueName="[Table13].[Reads count unique].[All]" allUniqueName="[Table13].[Reads count unique].[All]" dimensionUniqueName="[Table13]" displayFolder="" count="0" memberValueDatatype="20" unbalanced="0"/>
    <cacheHierarchy uniqueName="[Table13].[Average_barcode_score]" caption="Average_barcode_score" attribute="1" defaultMemberUniqueName="[Table13].[Average_barcode_score].[All]" allUniqueName="[Table13].[Average_barcode_score].[All]" dimensionUniqueName="[Table13]" displayFolder="" count="0" memberValueDatatype="5" unbalanced="0"/>
    <cacheHierarchy uniqueName="[Table13].[Ref]" caption="Ref" attribute="1" defaultMemberUniqueName="[Table13].[Ref].[All]" allUniqueName="[Table13].[Ref].[All]" dimensionUniqueName="[Table13]" displayFolder="" count="0" memberValueDatatype="130" unbalanced="0"/>
    <cacheHierarchy uniqueName="[Table13].[Host]" caption="Host" attribute="1" defaultMemberUniqueName="[Table13].[Host].[All]" allUniqueName="[Table13].[Host].[All]" dimensionUniqueName="[Table13]" displayFolder="" count="0" memberValueDatatype="130" unbalanced="0"/>
    <cacheHierarchy uniqueName="[Table13].[Primers]" caption="Primers" attribute="1" defaultMemberUniqueName="[Table13].[Primers].[All]" allUniqueName="[Table13].[Primers].[All]" dimensionUniqueName="[Table13]" displayFolder="" count="2" memberValueDatatype="130" unbalanced="0">
      <fieldsUsage count="2">
        <fieldUsage x="-1"/>
        <fieldUsage x="1"/>
      </fieldsUsage>
    </cacheHierarchy>
    <cacheHierarchy uniqueName="[Table13].[Primers_uniq]" caption="Primers_uniq" attribute="1" defaultMemberUniqueName="[Table13].[Primers_uniq].[All]" allUniqueName="[Table13].[Primers_uniq].[All]" dimensionUniqueName="[Table13]" displayFolder="" count="0" memberValueDatatype="130" unbalanced="0"/>
    <cacheHierarchy uniqueName="[Table13].[Nb of primer specific consensuses]" caption="Nb of primer specific consensuses" attribute="1" defaultMemberUniqueName="[Table13].[Nb of primer specific consensuses].[All]" allUniqueName="[Table13].[Nb of primer specific consensuses].[All]" dimensionUniqueName="[Table13]" displayFolder="" count="0" memberValueDatatype="20" unbalanced="0"/>
    <cacheHierarchy uniqueName="[Table13].[Amplicon]" caption="Amplicon" attribute="1" defaultMemberUniqueName="[Table13].[Amplicon].[All]" allUniqueName="[Table13].[Amplicon].[All]" dimensionUniqueName="[Table13]" displayFolder="" count="0" memberValueDatatype="130" unbalanced="0"/>
    <cacheHierarchy uniqueName="[Table13].[Primer_forward]" caption="Primer_forward" attribute="1" defaultMemberUniqueName="[Table13].[Primer_forward].[All]" allUniqueName="[Table13].[Primer_forward].[All]" dimensionUniqueName="[Table13]" displayFolder="" count="0" memberValueDatatype="130" unbalanced="0"/>
    <cacheHierarchy uniqueName="[Table13].[Primer_reverse]" caption="Primer_reverse" attribute="1" defaultMemberUniqueName="[Table13].[Primer_reverse].[All]" allUniqueName="[Table13].[Primer_reverse].[All]" dimensionUniqueName="[Table13]" displayFolder="" count="0" memberValueDatatype="130" unbalanced="0"/>
    <cacheHierarchy uniqueName="[Table13].[Amplicons_size]" caption="Amplicons_size" attribute="1" defaultMemberUniqueName="[Table13].[Amplicons_size].[All]" allUniqueName="[Table13].[Amplicons_size].[All]" dimensionUniqueName="[Table13]" displayFolder="" count="0" memberValueDatatype="20" unbalanced="0"/>
    <cacheHierarchy uniqueName="[Table13].[Expected Taxon]" caption="Expected Taxon" attribute="1" defaultMemberUniqueName="[Table13].[Expected Taxon].[All]" allUniqueName="[Table13].[Expected Taxon].[All]" dimensionUniqueName="[Table13]" displayFolder="" count="0" memberValueDatatype="130" unbalanced="0"/>
    <cacheHierarchy uniqueName="[Table13].[Cutadapt_Metrics_Total_Reads]" caption="Cutadapt_Metrics_Total_Reads" attribute="1" defaultMemberUniqueName="[Table13].[Cutadapt_Metrics_Total_Reads].[All]" allUniqueName="[Table13].[Cutadapt_Metrics_Total_Reads].[All]" dimensionUniqueName="[Table13]" displayFolder="" count="0" memberValueDatatype="20" unbalanced="0"/>
    <cacheHierarchy uniqueName="[Table13].[Cutadapt_Metrics_Total_Reads_Unique]" caption="Cutadapt_Metrics_Total_Reads_Unique" attribute="1" defaultMemberUniqueName="[Table13].[Cutadapt_Metrics_Total_Reads_Unique].[All]" allUniqueName="[Table13].[Cutadapt_Metrics_Total_Reads_Unique].[All]" dimensionUniqueName="[Table13]" displayFolder="" count="0" memberValueDatatype="20" unbalanced="0"/>
    <cacheHierarchy uniqueName="[Table13].[Percentage_cutadapt_of_total_reads]" caption="Percentage_cutadapt_of_total_reads" attribute="1" defaultMemberUniqueName="[Table13].[Percentage_cutadapt_of_total_reads].[All]" allUniqueName="[Table13].[Percentage_cutadapt_of_total_reads].[All]" dimensionUniqueName="[Table13]" displayFolder="" count="0" memberValueDatatype="5" unbalanced="0"/>
    <cacheHierarchy uniqueName="[Table13].[Amplicon_consensus]" caption="Amplicon_consensus" attribute="1" defaultMemberUniqueName="[Table13].[Amplicon_consensus].[All]" allUniqueName="[Table13].[Amplicon_consensus].[All]" dimensionUniqueName="[Table13]" displayFolder="" count="0" memberValueDatatype="130" unbalanced="0"/>
    <cacheHierarchy uniqueName="[Table13].[ID_Seq]" caption="ID_Seq" attribute="1" defaultMemberUniqueName="[Table13].[ID_Seq].[All]" allUniqueName="[Table13].[ID_Seq].[All]" dimensionUniqueName="[Table13]" displayFolder="" count="0" memberValueDatatype="130" unbalanced="0"/>
    <cacheHierarchy uniqueName="[Table13].[Supported_by_x_reads]" caption="Supported_by_x_reads" attribute="1" defaultMemberUniqueName="[Table13].[Supported_by_x_reads].[All]" allUniqueName="[Table13].[Supported_by_x_reads].[All]" dimensionUniqueName="[Table13]" displayFolder="" count="2" memberValueDatatype="130" unbalanced="0">
      <fieldsUsage count="2">
        <fieldUsage x="-1"/>
        <fieldUsage x="0"/>
      </fieldsUsage>
    </cacheHierarchy>
    <cacheHierarchy uniqueName="[Table13].[Percentage_of_supported_reads_cutadapt_reads]" caption="Percentage_of_supported_reads_cutadapt_reads" attribute="1" defaultMemberUniqueName="[Table13].[Percentage_of_supported_reads_cutadapt_reads].[All]" allUniqueName="[Table13].[Percentage_of_supported_reads_cutadapt_reads].[All]" dimensionUniqueName="[Table13]" displayFolder="" count="0" memberValueDatatype="130" unbalanced="0"/>
    <cacheHierarchy uniqueName="[Table13].[Sequence]" caption="Sequence" attribute="1" defaultMemberUniqueName="[Table13].[Sequence].[All]" allUniqueName="[Table13].[Sequence].[All]" dimensionUniqueName="[Table13]" displayFolder="" count="0" memberValueDatatype="130" unbalanced="0"/>
    <cacheHierarchy uniqueName="[Table13].[Sequence_length]" caption="Sequence_length" attribute="1" defaultMemberUniqueName="[Table13].[Sequence_length].[All]" allUniqueName="[Table13].[Sequence_length].[All]" dimensionUniqueName="[Table13]" displayFolder="" count="0" memberValueDatatype="130" unbalanced="0"/>
    <cacheHierarchy uniqueName="[Table13].[Top_Blast_NCBI_taxon]" caption="Top_Blast_NCBI_taxon" attribute="1" defaultMemberUniqueName="[Table13].[Top_Blast_NCBI_taxon].[All]" allUniqueName="[Table13].[Top_Blast_NCBI_taxon].[All]" dimensionUniqueName="[Table13]" displayFolder="" count="0" memberValueDatatype="130" unbalanced="0"/>
    <cacheHierarchy uniqueName="[Table13].[Top_Blast_NCBI_Acc]" caption="Top_Blast_NCBI_Acc" attribute="1" defaultMemberUniqueName="[Table13].[Top_Blast_NCBI_Acc].[All]" allUniqueName="[Table13].[Top_Blast_NCBI_Acc].[All]" dimensionUniqueName="[Table13]" displayFolder="" count="0" memberValueDatatype="130" unbalanced="0"/>
    <cacheHierarchy uniqueName="[Table13].[Query cover perc.]" caption="Query cover perc." attribute="1" defaultMemberUniqueName="[Table13].[Query cover perc.].[All]" allUniqueName="[Table13].[Query cover perc.].[All]" dimensionUniqueName="[Table13]" displayFolder="" count="0" memberValueDatatype="130" unbalanced="0"/>
    <cacheHierarchy uniqueName="[Table13].[Perc. ident.]" caption="Perc. ident." attribute="1" defaultMemberUniqueName="[Table13].[Perc. ident.].[All]" allUniqueName="[Table13].[Perc. ident.].[All]" dimensionUniqueName="[Table13]" displayFolder="" count="0" memberValueDatatype="130" unbalanced="0"/>
    <cacheHierarchy uniqueName="[Table13].[Blast_Upper_Taxon]" caption="Blast_Upper_Taxon" attribute="1" defaultMemberUniqueName="[Table13].[Blast_Upper_Taxon].[All]" allUniqueName="[Table13].[Blast_Upper_Taxon].[All]" dimensionUniqueName="[Table13]" displayFolder="" count="2" memberValueDatatype="130" unbalanced="0">
      <fieldsUsage count="2">
        <fieldUsage x="-1"/>
        <fieldUsage x="2"/>
      </fieldsUsage>
    </cacheHierarchy>
    <cacheHierarchy uniqueName="[Table13].[Included in phylo. analysis]" caption="Included in phylo. analysis" attribute="1" defaultMemberUniqueName="[Table13].[Included in phylo. analysis].[All]" allUniqueName="[Table13].[Included in phylo. analysis].[All]" dimensionUniqueName="[Table13]" displayFolder="" count="2" memberValueDatatype="130" unbalanced="0">
      <fieldsUsage count="2">
        <fieldUsage x="-1"/>
        <fieldUsage x="3"/>
      </fieldsUsage>
    </cacheHierarchy>
    <cacheHierarchy uniqueName="[Table13].[Seq_RC_Yes_No]" caption="Seq_RC_Yes_No" attribute="1" defaultMemberUniqueName="[Table13].[Seq_RC_Yes_No].[All]" allUniqueName="[Table13].[Seq_RC_Yes_No].[All]" dimensionUniqueName="[Table13]" displayFolder="" count="0" memberValueDatatype="130" unbalanced="0"/>
    <cacheHierarchy uniqueName="[Table13].[Correct_seq_if_RC]" caption="Correct_seq_if_RC" attribute="1" defaultMemberUniqueName="[Table13].[Correct_seq_if_RC].[All]" allUniqueName="[Table13].[Correct_seq_if_RC].[All]" dimensionUniqueName="[Table13]" displayFolder="" count="0" memberValueDatatype="130" unbalanced="0"/>
    <cacheHierarchy uniqueName="[Table13].[Column1]" caption="Column1" attribute="1" defaultMemberUniqueName="[Table13].[Column1].[All]" allUniqueName="[Table13].[Column1].[All]" dimensionUniqueName="[Table13]" displayFolder="" count="0" memberValueDatatype="20" unbalanced="0"/>
    <cacheHierarchy uniqueName="[Table13].[Column2]" caption="Column2" attribute="1" defaultMemberUniqueName="[Table13].[Column2].[All]" allUniqueName="[Table13].[Column2].[All]" dimensionUniqueName="[Table13]" displayFolder="" count="0" memberValueDatatype="130" unbalanced="0"/>
    <cacheHierarchy uniqueName="[Measures].[__XL_Count Table13]" caption="__XL_Count Table13" measure="1" displayFolder="" measureGroup="Table13" count="0" hidden="1"/>
    <cacheHierarchy uniqueName="[Measures].[__No measures defined]" caption="__No measures defined" measure="1" displayFolder="" count="0" hidden="1"/>
    <cacheHierarchy uniqueName="[Measures].[Sum of Cutadapt_Metrics_Total_Reads]" caption="Sum of Cutadapt_Metrics_Total_Reads" measure="1" displayFolder="" measureGroup="Table13" count="0" hidden="1">
      <extLst>
        <ext xmlns:x15="http://schemas.microsoft.com/office/spreadsheetml/2010/11/main" uri="{B97F6D7D-B522-45F9-BDA1-12C45D357490}">
          <x15:cacheHierarchy aggregatedColumn="17"/>
        </ext>
      </extLst>
    </cacheHierarchy>
    <cacheHierarchy uniqueName="[Measures].[Distinct Count of Cutadapt_Metrics_Total_Reads]" caption="Distinct Count of Cutadapt_Metrics_Total_Reads" measure="1" displayFolder="" measureGroup="Table13" count="0" hidden="1">
      <extLst>
        <ext xmlns:x15="http://schemas.microsoft.com/office/spreadsheetml/2010/11/main" uri="{B97F6D7D-B522-45F9-BDA1-12C45D357490}">
          <x15:cacheHierarchy aggregatedColumn="17"/>
        </ext>
      </extLst>
    </cacheHierarchy>
    <cacheHierarchy uniqueName="[Measures].[Sum of Cutadapt_Metrics_Total_Reads_Unique]" caption="Sum of Cutadapt_Metrics_Total_Reads_Unique" measure="1" displayFolder="" measureGroup="Table13" count="0" hidden="1">
      <extLst>
        <ext xmlns:x15="http://schemas.microsoft.com/office/spreadsheetml/2010/11/main" uri="{B97F6D7D-B522-45F9-BDA1-12C45D357490}">
          <x15:cacheHierarchy aggregatedColumn="18"/>
        </ext>
      </extLst>
    </cacheHierarchy>
    <cacheHierarchy uniqueName="[Measures].[Sum of Reads count unique]" caption="Sum of Reads count unique" measure="1" displayFolder="" measureGroup="Table13" count="0" hidden="1">
      <extLst>
        <ext xmlns:x15="http://schemas.microsoft.com/office/spreadsheetml/2010/11/main" uri="{B97F6D7D-B522-45F9-BDA1-12C45D357490}">
          <x15:cacheHierarchy aggregatedColumn="5"/>
        </ext>
      </extLst>
    </cacheHierarchy>
    <cacheHierarchy uniqueName="[Measures].[Count of Sequence]" caption="Count of Sequence" measure="1" displayFolder="" measureGroup="Table13" count="0" oneField="1" hidden="1">
      <fieldsUsage count="1">
        <fieldUsage x="5"/>
      </fieldsUsage>
      <extLst>
        <ext xmlns:x15="http://schemas.microsoft.com/office/spreadsheetml/2010/11/main" uri="{B97F6D7D-B522-45F9-BDA1-12C45D357490}">
          <x15:cacheHierarchy aggregatedColumn="24"/>
        </ext>
      </extLst>
    </cacheHierarchy>
  </cacheHierarchies>
  <kpis count="0"/>
  <dimensions count="2">
    <dimension measure="1" name="Measures" uniqueName="[Measures]" caption="Measures"/>
    <dimension name="Table13" uniqueName="[Table13]" caption="Table13"/>
  </dimensions>
  <measureGroups count="1">
    <measureGroup name="Table13" caption="Table1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859F71-0D6A-4C79-89AC-F95259B91B6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D21" firstHeaderRow="1" firstDataRow="2" firstDataCol="1" rowPageCount="3"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2">
        <item s="1" x="0"/>
        <item s="1" x="1"/>
      </items>
    </pivotField>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14">
        <item x="0"/>
        <item x="1"/>
        <item x="2"/>
        <item x="3"/>
        <item x="4"/>
        <item x="5"/>
        <item x="6"/>
        <item x="7"/>
        <item x="8"/>
        <item x="9"/>
        <item x="10"/>
        <item x="11"/>
        <item x="12"/>
        <item x="13"/>
      </items>
    </pivotField>
    <pivotField dataField="1" subtotalTop="0" showAll="0" defaultSubtotal="0"/>
  </pivotFields>
  <rowFields count="1">
    <field x="4"/>
  </rowFields>
  <rowItems count="15">
    <i>
      <x/>
    </i>
    <i>
      <x v="1"/>
    </i>
    <i>
      <x v="2"/>
    </i>
    <i>
      <x v="3"/>
    </i>
    <i>
      <x v="4"/>
    </i>
    <i>
      <x v="5"/>
    </i>
    <i>
      <x v="6"/>
    </i>
    <i>
      <x v="7"/>
    </i>
    <i>
      <x v="8"/>
    </i>
    <i>
      <x v="9"/>
    </i>
    <i>
      <x v="10"/>
    </i>
    <i>
      <x v="11"/>
    </i>
    <i>
      <x v="12"/>
    </i>
    <i>
      <x v="13"/>
    </i>
    <i t="grand">
      <x/>
    </i>
  </rowItems>
  <colFields count="1">
    <field x="1"/>
  </colFields>
  <colItems count="3">
    <i>
      <x/>
    </i>
    <i>
      <x v="1"/>
    </i>
    <i t="grand">
      <x/>
    </i>
  </colItems>
  <pageFields count="3">
    <pageField fld="0" hier="22" name="[Table13].[Supported_by_x_reads].&amp;[2]" cap="2"/>
    <pageField fld="2" hier="30" name="[Table13].[Blast_Upper_Taxon].&amp;[Gregarinasina]" cap="Gregarinasina"/>
    <pageField fld="3" hier="31" name="[Table13].[Included in phylo. analysis].&amp;[Yes]" cap="Yes"/>
  </pageFields>
  <dataFields count="1">
    <dataField name="Count of Sequence" fld="5" subtotal="count" baseField="4" baseItem="2"/>
  </dataFields>
  <pivotHierarchies count="43">
    <pivotHierarchy dragToData="1"/>
    <pivotHierarchy dragToData="1"/>
    <pivotHierarchy dragToData="1"/>
    <pivotHierarchy dragToData="1"/>
    <pivotHierarchy dragToData="1"/>
    <pivotHierarchy dragToData="1"/>
    <pivotHierarchy dragToData="1"/>
    <pivotHierarchy dragToData="1"/>
    <pivotHierarchy dragToData="1"/>
    <pivotHierarchy dragToData="1">
      <members count="8" level="1">
        <member name="[Table13].[Primers].&amp;[Am]"/>
        <member name="[Table13].[Primers].&amp;[V1f / 530R]"/>
        <member name="[Table13].[Primers].&amp;[AmRC / iLSUr]"/>
        <member name="[Table13].[Primers].&amp;[V1F / CM-V5R]"/>
        <member name=""/>
        <member name=""/>
        <member name="[Table13].[Primers].&amp;[CM-V5RC / iLSUr]"/>
        <member name="[Table13].[Primers].&amp;[1-18S-GRF/1222-18S-GR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60" level="1">
        <member name="[Table13].[Supported_by_x_reads].&amp;[2]"/>
        <member name="[Table13].[Supported_by_x_reads].&amp;[3]"/>
        <member name="[Table13].[Supported_by_x_reads].&amp;[4]"/>
        <member name="[Table13].[Supported_by_x_reads].&amp;[5]"/>
        <member name="[Table13].[Supported_by_x_reads].&amp;[6]"/>
        <member name="[Table13].[Supported_by_x_reads].&amp;[7]"/>
        <member name="[Table13].[Supported_by_x_reads].&amp;[8]"/>
        <member name="[Table13].[Supported_by_x_reads].&amp;[9]"/>
        <member name="[Table13].[Supported_by_x_reads].&amp;[11]"/>
        <member name="[Table13].[Supported_by_x_reads].&amp;[14]"/>
        <member name="[Table13].[Supported_by_x_reads].&amp;[15]"/>
        <member name="[Table13].[Supported_by_x_reads].&amp;[17]"/>
        <member name="[Table13].[Supported_by_x_reads].&amp;[18]"/>
        <member name="[Table13].[Supported_by_x_reads].&amp;[19]"/>
        <member name="[Table13].[Supported_by_x_reads].&amp;[24]"/>
        <member name="[Table13].[Supported_by_x_reads].&amp;[29]"/>
        <member name="[Table13].[Supported_by_x_reads].&amp;[30]"/>
        <member name="[Table13].[Supported_by_x_reads].&amp;[31]"/>
        <member name="[Table13].[Supported_by_x_reads].&amp;[36]"/>
        <member name="[Table13].[Supported_by_x_reads].&amp;[37]"/>
        <member name="[Table13].[Supported_by_x_reads].&amp;[39]"/>
        <member name="[Table13].[Supported_by_x_reads].&amp;[40]"/>
        <member name="[Table13].[Supported_by_x_reads].&amp;[42]"/>
        <member name="[Table13].[Supported_by_x_reads].&amp;[45]"/>
        <member name="[Table13].[Supported_by_x_reads].&amp;[47]"/>
        <member name="[Table13].[Supported_by_x_reads].&amp;[48]"/>
        <member name="[Table13].[Supported_by_x_reads].&amp;[51]"/>
        <member name="[Table13].[Supported_by_x_reads].&amp;[53]"/>
        <member name="[Table13].[Supported_by_x_reads].&amp;[56]"/>
        <member name="[Table13].[Supported_by_x_reads].&amp;[59]"/>
        <member name="[Table13].[Supported_by_x_reads].&amp;[61]"/>
        <member name="[Table13].[Supported_by_x_reads].&amp;[62]"/>
        <member name="[Table13].[Supported_by_x_reads].&amp;[69]"/>
        <member name="[Table13].[Supported_by_x_reads].&amp;[70]"/>
        <member name="[Table13].[Supported_by_x_reads].&amp;[73]"/>
        <member name="[Table13].[Supported_by_x_reads].&amp;[77]"/>
        <member name="[Table13].[Supported_by_x_reads].&amp;[79]"/>
        <member name="[Table13].[Supported_by_x_reads].&amp;[80]"/>
        <member name="[Table13].[Supported_by_x_reads].&amp;[81]"/>
        <member name="[Table13].[Supported_by_x_reads].&amp;[84]"/>
        <member name="[Table13].[Supported_by_x_reads].&amp;[88]"/>
        <member name="[Table13].[Supported_by_x_reads].&amp;[99]"/>
        <member name="[Table13].[Supported_by_x_reads].&amp;[NA]"/>
        <member name="[Table13].[Supported_by_x_reads].&amp;[100]"/>
        <member name="[Table13].[Supported_by_x_reads].&amp;[104]"/>
        <member name="[Table13].[Supported_by_x_reads].&amp;[105]"/>
        <member name="[Table13].[Supported_by_x_reads].&amp;[114]"/>
        <member name="[Table13].[Supported_by_x_reads].&amp;[116]"/>
        <member name="[Table13].[Supported_by_x_reads].&amp;[117]"/>
        <member name="[Table13].[Supported_by_x_reads].&amp;[130]"/>
        <member name="[Table13].[Supported_by_x_reads].&amp;[133]"/>
        <member name="[Table13].[Supported_by_x_reads].&amp;[172]"/>
        <member name="[Table13].[Supported_by_x_reads].&amp;[195]"/>
        <member name="[Table13].[Supported_by_x_reads].&amp;[197]"/>
        <member name="[Table13].[Supported_by_x_reads].&amp;[205]"/>
        <member name="[Table13].[Supported_by_x_reads].&amp;[235]"/>
        <member name="[Table13].[Supported_by_x_reads].&amp;[275]"/>
        <member name="[Table13].[Supported_by_x_reads].&amp;[279]"/>
        <member name="[Table13].[Supported_by_x_reads].&amp;[284]"/>
        <member name="[Table13].[Supported_by_x_reads].&amp;[290]"/>
      </members>
    </pivotHierarchy>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3].[Blast_Upper_Taxon].&amp;[Gregarinasina]"/>
      </members>
    </pivotHierarchy>
    <pivotHierarchy multipleItemSelectionAllowed="1" dragToData="1">
      <members count="1" level="1">
        <member name="[Table13].[Included in phylo. analysis].&amp;[Yes]"/>
      </members>
    </pivotHierarchy>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Distinct Count of Cutadapt_Metrics_Total_Reads"/>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pliconsTable_March25.xlsm!Table13">
        <x15:activeTabTopLevelEntity name="[Table13]"/>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3" displayName="Table13" ref="A7:AJ144" totalsRowShown="0" headerRowDxfId="56" dataDxfId="55">
  <autoFilter ref="A7:AJ144" xr:uid="{00000000-0009-0000-0100-000002000000}"/>
  <tableColumns count="36">
    <tableColumn id="9" xr3:uid="{00000000-0010-0000-0000-000009000000}" name="Nanopore_Run" dataDxfId="54" totalsRowDxfId="53"/>
    <tableColumn id="8" xr3:uid="{00000000-0010-0000-0000-000008000000}" name="Nanopore_Run_Date" dataDxfId="52" totalsRowDxfId="51"/>
    <tableColumn id="1" xr3:uid="{00000000-0010-0000-0000-000001000000}" name="Barcode_ID" dataDxfId="50"/>
    <tableColumn id="36" xr3:uid="{D8644EC3-8A6E-46EA-9CCF-E63142ADA911}" name="Barcode_ID_uniq" dataDxfId="49">
      <calculatedColumnFormula>Table13[[#This Row],[Nanopore_Run]] &amp; "_" &amp; Table13[[#This Row],[Barcode_ID]]</calculatedColumnFormula>
    </tableColumn>
    <tableColumn id="15" xr3:uid="{00000000-0010-0000-0000-00000F000000}" name="Reads count" dataDxfId="48"/>
    <tableColumn id="35" xr3:uid="{04690E2E-9CF6-4DBC-8969-6900B376D1B4}" name="Reads count unique" dataDxfId="47">
      <calculatedColumnFormula>IF(COUNTIF($D$8:D8, D8)=1, Table13[[#This Row],[Reads count]], 0)</calculatedColumnFormula>
    </tableColumn>
    <tableColumn id="7" xr3:uid="{00000000-0010-0000-0000-000007000000}" name="Average_barcode_score" dataDxfId="46" totalsRowDxfId="45"/>
    <tableColumn id="2" xr3:uid="{00000000-0010-0000-0000-000002000000}" name="Ref" dataDxfId="44"/>
    <tableColumn id="3" xr3:uid="{00000000-0010-0000-0000-000003000000}" name="Host" dataDxfId="43"/>
    <tableColumn id="4" xr3:uid="{00000000-0010-0000-0000-000004000000}" name="Primers" dataDxfId="42"/>
    <tableColumn id="38" xr3:uid="{113CB655-A6C4-43E2-9B61-10D7EC0902B9}" name="Primers_uniq" dataDxfId="41">
      <calculatedColumnFormula>A8 &amp; "_" &amp; C8 &amp; "_" &amp; TRIM(J8)</calculatedColumnFormula>
    </tableColumn>
    <tableColumn id="29" xr3:uid="{177A7E2E-EF8F-400E-9927-F6D7AAF57821}" name="Nb of primer specific consensuses" dataDxfId="40"/>
    <tableColumn id="26" xr3:uid="{635304BD-DDC3-498D-8486-348A246691F8}" name="Amplicon" dataDxfId="39" totalsRowDxfId="38"/>
    <tableColumn id="11" xr3:uid="{00000000-0010-0000-0000-00000B000000}" name="Primer_forward" dataDxfId="37"/>
    <tableColumn id="10" xr3:uid="{00000000-0010-0000-0000-00000A000000}" name="Primer_reverse" dataDxfId="36"/>
    <tableColumn id="6" xr3:uid="{00000000-0010-0000-0000-000006000000}" name="Amplicons_size" dataDxfId="35" totalsRowDxfId="34"/>
    <tableColumn id="28" xr3:uid="{7B29DF2D-8826-455B-B5F3-14CF080FC4F4}" name="Expected Taxon" dataDxfId="33" totalsRowDxfId="32"/>
    <tableColumn id="20" xr3:uid="{00000000-0010-0000-0000-000014000000}" name="Cutadapt_Metrics_Total_Reads" dataDxfId="31"/>
    <tableColumn id="34" xr3:uid="{5484ACD6-DAF4-4FC7-A1D9-3CA6D839F235}" name="Cutadapt_Metrics_Total_Reads_Unique" dataDxfId="30">
      <calculatedColumnFormula>IF(COUNTIF($K$8:K8, K8)=1, Table13[[#This Row],[Cutadapt_Metrics_Total_Reads]], 0)</calculatedColumnFormula>
    </tableColumn>
    <tableColumn id="21" xr3:uid="{00000000-0010-0000-0000-000015000000}" name="Percentage_cutadapt_of_total_reads" dataDxfId="29" totalsRowDxfId="28">
      <calculatedColumnFormula>(Table13[[#This Row],[Cutadapt_Metrics_Total_Reads]]/Table13[[#This Row],[Reads count]])*100</calculatedColumnFormula>
    </tableColumn>
    <tableColumn id="12" xr3:uid="{00000000-0010-0000-0000-00000C000000}" name="Amplicon_consensus" dataDxfId="27"/>
    <tableColumn id="27" xr3:uid="{359AF25D-6279-451A-83BF-2A55DA0976C2}" name="ID_Seq" dataDxfId="26" totalsRowDxfId="25"/>
    <tableColumn id="13" xr3:uid="{00000000-0010-0000-0000-00000D000000}" name="Supported_by_x_reads" dataDxfId="24"/>
    <tableColumn id="19" xr3:uid="{00000000-0010-0000-0000-000013000000}" name="Percentage_of_supported_reads_cutadapt_reads" dataDxfId="23" totalsRowDxfId="22">
      <calculatedColumnFormula>(Table13[[#This Row],[Supported_by_x_reads]]/Table13[[#This Row],[Cutadapt_Metrics_Total_Reads]])*100</calculatedColumnFormula>
    </tableColumn>
    <tableColumn id="16" xr3:uid="{00000000-0010-0000-0000-000010000000}" name="Sequence" dataDxfId="21"/>
    <tableColumn id="17" xr3:uid="{00000000-0010-0000-0000-000011000000}" name="Sequence_length" dataDxfId="20"/>
    <tableColumn id="14" xr3:uid="{00000000-0010-0000-0000-00000E000000}" name="Top_Blast_NCBI_taxon" dataDxfId="19" totalsRowDxfId="18"/>
    <tableColumn id="30" xr3:uid="{8D4E218A-F8EA-466B-914B-14311A800BA2}" name="Top_Blast_NCBI_Acc" dataDxfId="17" totalsRowDxfId="16"/>
    <tableColumn id="32" xr3:uid="{3931082A-1528-4BB2-AB96-411E0ED0F0A1}" name="Query cover perc." dataDxfId="15" totalsRowDxfId="14"/>
    <tableColumn id="31" xr3:uid="{4A8A735C-9070-45AA-9546-8C2C389855FA}" name="Perc. ident." dataDxfId="13" totalsRowDxfId="12"/>
    <tableColumn id="18" xr3:uid="{00000000-0010-0000-0000-000012000000}" name="Blast_Upper_Taxon" dataDxfId="11" totalsRowDxfId="10"/>
    <tableColumn id="33" xr3:uid="{1B07FEC5-2AFA-4BA3-937B-ED2ED0550937}" name="Included in phylo. Analysis" dataDxfId="9" totalsRowDxfId="8"/>
    <tableColumn id="22" xr3:uid="{00000000-0010-0000-0000-000016000000}" name="Seq_RC_Yes_No" dataDxfId="7" totalsRowDxfId="6"/>
    <tableColumn id="23" xr3:uid="{00000000-0010-0000-0000-000017000000}" name="Correct_seq_if_RC" dataDxfId="5" totalsRowDxfId="4"/>
    <tableColumn id="24" xr3:uid="{00000000-0010-0000-0000-000018000000}" name="Column1" dataDxfId="3" totalsRowDxfId="2"/>
    <tableColumn id="25" xr3:uid="{00000000-0010-0000-0000-000019000000}" name="Column2" dataDxfId="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144"/>
  <sheetViews>
    <sheetView tabSelected="1" topLeftCell="W1" zoomScaleNormal="100" workbookViewId="0">
      <selection activeCell="AF7" sqref="AF7"/>
    </sheetView>
  </sheetViews>
  <sheetFormatPr defaultRowHeight="15" customHeight="1" x14ac:dyDescent="0.35"/>
  <cols>
    <col min="1" max="1" width="8.90625" customWidth="1"/>
    <col min="2" max="2" width="14.54296875" customWidth="1"/>
    <col min="3" max="4" width="6.1796875" customWidth="1"/>
    <col min="5" max="6" width="8.26953125" customWidth="1"/>
    <col min="7" max="7" width="7.1796875" customWidth="1"/>
    <col min="8" max="8" width="10.36328125" customWidth="1"/>
    <col min="9" max="9" width="15.7265625" customWidth="1"/>
    <col min="10" max="10" width="14.54296875" customWidth="1"/>
    <col min="11" max="11" width="12.08984375" customWidth="1"/>
    <col min="12" max="12" width="9.26953125" customWidth="1"/>
    <col min="13" max="13" width="10.1796875" customWidth="1"/>
    <col min="14" max="14" width="17.453125" customWidth="1"/>
    <col min="15" max="15" width="17.6328125" customWidth="1"/>
    <col min="16" max="16" width="10.453125" customWidth="1"/>
    <col min="17" max="17" width="15.7265625" style="14" customWidth="1"/>
    <col min="18" max="19" width="15.54296875" style="14" customWidth="1"/>
    <col min="20" max="20" width="10.1796875" customWidth="1"/>
    <col min="21" max="21" width="16.36328125" customWidth="1"/>
    <col min="22" max="22" width="49.36328125" customWidth="1"/>
    <col min="23" max="23" width="11.08984375" customWidth="1"/>
    <col min="24" max="24" width="14" customWidth="1"/>
    <col min="25" max="25" width="20" customWidth="1"/>
    <col min="26" max="26" width="13.26953125" customWidth="1"/>
    <col min="27" max="27" width="27.453125" customWidth="1"/>
    <col min="28" max="28" width="14.1796875" customWidth="1"/>
    <col min="29" max="29" width="9.08984375" customWidth="1"/>
    <col min="30" max="30" width="10.26953125" customWidth="1"/>
    <col min="31" max="31" width="10.6328125" customWidth="1"/>
    <col min="32" max="32" width="15" customWidth="1"/>
    <col min="33" max="33" width="11.36328125" customWidth="1"/>
    <col min="34" max="34" width="11.81640625" customWidth="1"/>
    <col min="35" max="35" width="12.81640625" hidden="1" customWidth="1"/>
    <col min="36" max="36" width="8.7265625" hidden="1" customWidth="1"/>
    <col min="37" max="37" width="16.90625" hidden="1" customWidth="1"/>
    <col min="38" max="38" width="8.7265625" customWidth="1"/>
  </cols>
  <sheetData>
    <row r="1" spans="1:36" ht="19.5" customHeight="1" x14ac:dyDescent="0.35">
      <c r="A1" s="31" t="s">
        <v>496</v>
      </c>
    </row>
    <row r="2" spans="1:36" ht="29.5" customHeight="1" x14ac:dyDescent="0.35">
      <c r="A2" s="44" t="s">
        <v>501</v>
      </c>
      <c r="B2" s="44"/>
      <c r="C2" s="44"/>
      <c r="D2" s="44"/>
      <c r="E2" s="44"/>
      <c r="F2" s="44"/>
      <c r="G2" s="44"/>
      <c r="H2" s="44"/>
      <c r="I2" s="44"/>
      <c r="J2" s="44"/>
      <c r="K2" s="44"/>
      <c r="L2" s="44"/>
      <c r="M2" s="44"/>
      <c r="N2" s="44"/>
      <c r="O2" s="44"/>
    </row>
    <row r="3" spans="1:36" ht="23" customHeight="1" x14ac:dyDescent="0.35">
      <c r="A3" s="44"/>
      <c r="B3" s="44"/>
      <c r="C3" s="44"/>
      <c r="D3" s="44"/>
      <c r="E3" s="44"/>
      <c r="F3" s="44"/>
      <c r="G3" s="44"/>
      <c r="H3" s="44"/>
      <c r="I3" s="44"/>
      <c r="J3" s="44"/>
      <c r="K3" s="44"/>
      <c r="L3" s="44"/>
      <c r="M3" s="44"/>
      <c r="N3" s="44"/>
      <c r="O3" s="44"/>
    </row>
    <row r="4" spans="1:36" ht="34" customHeight="1" x14ac:dyDescent="0.35">
      <c r="A4" s="44"/>
      <c r="B4" s="44"/>
      <c r="C4" s="44"/>
      <c r="D4" s="44"/>
      <c r="E4" s="44"/>
      <c r="F4" s="44"/>
      <c r="G4" s="44"/>
      <c r="H4" s="44"/>
      <c r="I4" s="44"/>
      <c r="J4" s="44"/>
      <c r="K4" s="44"/>
      <c r="L4" s="44"/>
      <c r="M4" s="44"/>
      <c r="N4" s="44"/>
      <c r="O4" s="44"/>
    </row>
    <row r="5" spans="1:36" ht="44.5" customHeight="1" x14ac:dyDescent="0.35">
      <c r="A5" s="44"/>
      <c r="B5" s="44"/>
      <c r="C5" s="44"/>
      <c r="D5" s="44"/>
      <c r="E5" s="44"/>
      <c r="F5" s="44"/>
      <c r="G5" s="44"/>
      <c r="H5" s="44"/>
      <c r="I5" s="44"/>
      <c r="J5" s="44"/>
      <c r="K5" s="44"/>
      <c r="L5" s="44"/>
      <c r="M5" s="44"/>
      <c r="N5" s="44"/>
      <c r="O5" s="44"/>
    </row>
    <row r="6" spans="1:36" ht="17.5" customHeight="1" thickBot="1" x14ac:dyDescent="0.4"/>
    <row r="7" spans="1:36" ht="50" customHeight="1" thickBot="1" x14ac:dyDescent="0.4">
      <c r="A7" s="29" t="s">
        <v>0</v>
      </c>
      <c r="B7" t="s">
        <v>1</v>
      </c>
      <c r="C7" t="s">
        <v>2</v>
      </c>
      <c r="D7" t="s">
        <v>506</v>
      </c>
      <c r="E7" t="s">
        <v>3</v>
      </c>
      <c r="F7" t="s">
        <v>504</v>
      </c>
      <c r="G7" t="s">
        <v>4</v>
      </c>
      <c r="H7" t="s">
        <v>5</v>
      </c>
      <c r="I7" t="s">
        <v>6</v>
      </c>
      <c r="J7" t="s">
        <v>7</v>
      </c>
      <c r="K7" t="s">
        <v>507</v>
      </c>
      <c r="L7" t="s">
        <v>278</v>
      </c>
      <c r="M7" t="s">
        <v>8</v>
      </c>
      <c r="N7" s="30" t="s">
        <v>9</v>
      </c>
      <c r="O7" s="30" t="s">
        <v>10</v>
      </c>
      <c r="P7" t="s">
        <v>11</v>
      </c>
      <c r="Q7" t="s">
        <v>267</v>
      </c>
      <c r="R7" t="s">
        <v>12</v>
      </c>
      <c r="S7" t="s">
        <v>503</v>
      </c>
      <c r="T7" s="30" t="s">
        <v>13</v>
      </c>
      <c r="U7" s="30" t="s">
        <v>14</v>
      </c>
      <c r="V7" s="30" t="s">
        <v>263</v>
      </c>
      <c r="W7" s="30" t="s">
        <v>15</v>
      </c>
      <c r="X7" s="30" t="s">
        <v>16</v>
      </c>
      <c r="Y7" s="30" t="s">
        <v>17</v>
      </c>
      <c r="Z7" s="30" t="s">
        <v>18</v>
      </c>
      <c r="AA7" s="30" t="s">
        <v>293</v>
      </c>
      <c r="AB7" s="30" t="s">
        <v>292</v>
      </c>
      <c r="AC7" s="30" t="s">
        <v>298</v>
      </c>
      <c r="AD7" s="30" t="s">
        <v>289</v>
      </c>
      <c r="AE7" s="30" t="s">
        <v>294</v>
      </c>
      <c r="AF7" s="30" t="s">
        <v>575</v>
      </c>
      <c r="AG7" s="30" t="s">
        <v>19</v>
      </c>
      <c r="AH7" s="30" t="s">
        <v>20</v>
      </c>
      <c r="AI7" s="1" t="s">
        <v>21</v>
      </c>
      <c r="AJ7" s="1" t="s">
        <v>22</v>
      </c>
    </row>
    <row r="8" spans="1:36" ht="14.5" x14ac:dyDescent="0.35">
      <c r="A8" s="22">
        <v>1</v>
      </c>
      <c r="B8" s="15">
        <v>44686</v>
      </c>
      <c r="C8">
        <v>1</v>
      </c>
      <c r="D8" t="str">
        <f>Table13[[#This Row],[Nanopore_Run]] &amp; "_" &amp; Table13[[#This Row],[Barcode_ID]]</f>
        <v>1_1</v>
      </c>
      <c r="E8">
        <v>906</v>
      </c>
      <c r="F8">
        <f>IF(COUNTIF($D$8:D8, D8)=1, Table13[[#This Row],[Reads count]], 0)</f>
        <v>906</v>
      </c>
      <c r="G8" s="16">
        <v>90.465864679911306</v>
      </c>
      <c r="H8" t="s">
        <v>85</v>
      </c>
      <c r="I8" s="1" t="s">
        <v>86</v>
      </c>
      <c r="J8" t="s">
        <v>35</v>
      </c>
      <c r="K8" t="str">
        <f t="shared" ref="K8:K39" si="0">A8 &amp; "_" &amp; C8 &amp; "_" &amp; TRIM(J8)</f>
        <v>1_1_AmRC / iLSUr</v>
      </c>
      <c r="L8">
        <v>1</v>
      </c>
      <c r="M8" t="s">
        <v>26</v>
      </c>
      <c r="N8" t="s">
        <v>36</v>
      </c>
      <c r="O8" t="s">
        <v>28</v>
      </c>
      <c r="P8" s="14">
        <v>4200</v>
      </c>
      <c r="Q8" s="1" t="s">
        <v>37</v>
      </c>
      <c r="R8">
        <v>1</v>
      </c>
      <c r="S8">
        <f>IF(COUNTIF($K$8:K8, K8)=1, Table13[[#This Row],[Cutadapt_Metrics_Total_Reads]], 0)</f>
        <v>1</v>
      </c>
      <c r="T8" s="2">
        <f>(Table13[[#This Row],[Cutadapt_Metrics_Total_Reads]]/Table13[[#This Row],[Reads count]])*100</f>
        <v>0.11037527593818984</v>
      </c>
      <c r="U8" t="s">
        <v>43</v>
      </c>
      <c r="V8" t="str">
        <f>Table13[[#This Row],[Amplicon_consensus]] &amp; "_Run" &amp; A8 &amp; "_Barcode" &amp; C8 &amp; "_" &amp; Table13[[#This Row],[Host]] &amp; "_" &amp; Table13[[#This Row],[Primers]]</f>
        <v>&gt;consensus_cl_id_0_total_supporting_reads_1_Run1_Barcode1_Aphomia sociella_AmRC / iLSUr</v>
      </c>
      <c r="W8">
        <v>1</v>
      </c>
      <c r="X8" s="17">
        <f>(Table13[[#This Row],[Supported_by_x_reads]]/Table13[[#This Row],[Cutadapt_Metrics_Total_Reads]])*100</f>
        <v>100</v>
      </c>
      <c r="Y8" t="s">
        <v>87</v>
      </c>
      <c r="Z8">
        <f>LEN(Table13[[#This Row],[Sequence]])</f>
        <v>4024</v>
      </c>
      <c r="AA8" t="s">
        <v>390</v>
      </c>
      <c r="AB8" t="s">
        <v>389</v>
      </c>
      <c r="AC8">
        <v>35</v>
      </c>
      <c r="AD8">
        <v>92.4</v>
      </c>
      <c r="AE8" t="s">
        <v>67</v>
      </c>
      <c r="AG8" t="s">
        <v>54</v>
      </c>
      <c r="AH8" t="s">
        <v>31</v>
      </c>
    </row>
    <row r="9" spans="1:36" ht="14.5" x14ac:dyDescent="0.35">
      <c r="A9" s="22">
        <v>1</v>
      </c>
      <c r="B9" s="15">
        <v>44686</v>
      </c>
      <c r="C9">
        <v>1</v>
      </c>
      <c r="D9" t="str">
        <f>Table13[[#This Row],[Nanopore_Run]] &amp; "_" &amp; Table13[[#This Row],[Barcode_ID]]</f>
        <v>1_1</v>
      </c>
      <c r="E9">
        <v>906</v>
      </c>
      <c r="F9">
        <f>IF(COUNTIF($D$8:D9, D9)=1, Table13[[#This Row],[Reads count]], 0)</f>
        <v>0</v>
      </c>
      <c r="G9" s="16">
        <v>90.465864679911306</v>
      </c>
      <c r="H9" t="s">
        <v>85</v>
      </c>
      <c r="I9" s="1" t="s">
        <v>86</v>
      </c>
      <c r="J9" t="s">
        <v>25</v>
      </c>
      <c r="K9" t="str">
        <f t="shared" si="0"/>
        <v>1_1_GregRC / iLSUr</v>
      </c>
      <c r="L9">
        <v>2</v>
      </c>
      <c r="M9" t="s">
        <v>26</v>
      </c>
      <c r="N9" t="s">
        <v>27</v>
      </c>
      <c r="O9" t="s">
        <v>28</v>
      </c>
      <c r="P9" s="14">
        <v>3350</v>
      </c>
      <c r="Q9" s="1" t="s">
        <v>47</v>
      </c>
      <c r="R9">
        <v>3</v>
      </c>
      <c r="S9">
        <f>IF(COUNTIF($K$8:K9, K9)=1, Table13[[#This Row],[Cutadapt_Metrics_Total_Reads]], 0)</f>
        <v>3</v>
      </c>
      <c r="T9" s="2">
        <f>(Table13[[#This Row],[Cutadapt_Metrics_Total_Reads]]/Table13[[#This Row],[Reads count]])*100</f>
        <v>0.33112582781456956</v>
      </c>
      <c r="U9" t="s">
        <v>43</v>
      </c>
      <c r="V9" t="str">
        <f>Table13[[#This Row],[Amplicon_consensus]] &amp; "_Run" &amp; A9 &amp; "_Barcode" &amp; C9 &amp; "_" &amp; Table13[[#This Row],[Host]] &amp; "_" &amp; Table13[[#This Row],[Primers]]</f>
        <v>&gt;consensus_cl_id_0_total_supporting_reads_1_Run1_Barcode1_Aphomia sociella_GregRC / iLSUr</v>
      </c>
      <c r="W9">
        <v>1</v>
      </c>
      <c r="X9" s="17">
        <f>(Table13[[#This Row],[Supported_by_x_reads]]/Table13[[#This Row],[Cutadapt_Metrics_Total_Reads]])*100</f>
        <v>33.333333333333329</v>
      </c>
      <c r="Y9" t="s">
        <v>387</v>
      </c>
      <c r="Z9">
        <f>LEN(Table13[[#This Row],[Sequence]])</f>
        <v>3123</v>
      </c>
      <c r="AA9" t="s">
        <v>64</v>
      </c>
      <c r="AB9" t="s">
        <v>388</v>
      </c>
      <c r="AC9">
        <v>11</v>
      </c>
      <c r="AD9">
        <v>94.2</v>
      </c>
      <c r="AE9" t="s">
        <v>430</v>
      </c>
      <c r="AF9" t="s">
        <v>54</v>
      </c>
      <c r="AG9" t="s">
        <v>31</v>
      </c>
      <c r="AH9" t="s">
        <v>31</v>
      </c>
    </row>
    <row r="10" spans="1:36" ht="14.5" x14ac:dyDescent="0.35">
      <c r="A10" s="22">
        <v>1</v>
      </c>
      <c r="B10" s="15">
        <v>44686</v>
      </c>
      <c r="C10">
        <v>1</v>
      </c>
      <c r="D10" t="str">
        <f>Table13[[#This Row],[Nanopore_Run]] &amp; "_" &amp; Table13[[#This Row],[Barcode_ID]]</f>
        <v>1_1</v>
      </c>
      <c r="E10">
        <v>906</v>
      </c>
      <c r="F10">
        <f>IF(COUNTIF($D$8:D10, D10)=1, Table13[[#This Row],[Reads count]], 0)</f>
        <v>0</v>
      </c>
      <c r="G10" s="16">
        <v>90.465864679911306</v>
      </c>
      <c r="H10" t="s">
        <v>85</v>
      </c>
      <c r="I10" s="1" t="s">
        <v>86</v>
      </c>
      <c r="J10" t="s">
        <v>25</v>
      </c>
      <c r="K10" t="str">
        <f t="shared" si="0"/>
        <v>1_1_GregRC / iLSUr</v>
      </c>
      <c r="L10">
        <v>2</v>
      </c>
      <c r="M10" t="s">
        <v>26</v>
      </c>
      <c r="N10" t="s">
        <v>27</v>
      </c>
      <c r="O10" t="s">
        <v>28</v>
      </c>
      <c r="P10" s="14">
        <v>3350</v>
      </c>
      <c r="Q10" s="1" t="s">
        <v>47</v>
      </c>
      <c r="R10">
        <v>3</v>
      </c>
      <c r="S10">
        <f>IF(COUNTIF($K$8:K10, K10)=1, Table13[[#This Row],[Cutadapt_Metrics_Total_Reads]], 0)</f>
        <v>0</v>
      </c>
      <c r="T10" s="2">
        <f>(Table13[[#This Row],[Cutadapt_Metrics_Total_Reads]]/Table13[[#This Row],[Reads count]])*100</f>
        <v>0.33112582781456956</v>
      </c>
      <c r="U10" t="s">
        <v>88</v>
      </c>
      <c r="V10" t="str">
        <f>Table13[[#This Row],[Amplicon_consensus]] &amp; "_Run" &amp; A10 &amp; "_Barcode" &amp; C10 &amp; "_" &amp; Table13[[#This Row],[Host]] &amp; "_" &amp; Table13[[#This Row],[Primers]]</f>
        <v>&gt;consensus_cl_id_1_total_supporting_reads_2_Run1_Barcode1_Aphomia sociella_GregRC / iLSUr</v>
      </c>
      <c r="W10">
        <v>2</v>
      </c>
      <c r="X10" s="17">
        <f>(Table13[[#This Row],[Supported_by_x_reads]]/Table13[[#This Row],[Cutadapt_Metrics_Total_Reads]])*100</f>
        <v>66.666666666666657</v>
      </c>
      <c r="Y10" t="s">
        <v>89</v>
      </c>
      <c r="Z10">
        <f>LEN(Table13[[#This Row],[Sequence]])</f>
        <v>3422</v>
      </c>
      <c r="AA10" t="s">
        <v>366</v>
      </c>
      <c r="AB10" t="s">
        <v>365</v>
      </c>
      <c r="AC10">
        <v>24</v>
      </c>
      <c r="AD10">
        <v>84.4</v>
      </c>
      <c r="AE10" t="s">
        <v>47</v>
      </c>
      <c r="AF10" t="s">
        <v>32</v>
      </c>
      <c r="AG10" t="s">
        <v>32</v>
      </c>
      <c r="AH10" t="s">
        <v>90</v>
      </c>
      <c r="AI10">
        <f>LEN(Table13[[#This Row],[Correct_seq_if_RC]])</f>
        <v>3422</v>
      </c>
      <c r="AJ10" t="str">
        <f>IF(Table13[[#This Row],[Column1]]=Table13[[#This Row],[Sequence_length]],"yes","no")</f>
        <v>yes</v>
      </c>
    </row>
    <row r="11" spans="1:36" ht="14.5" x14ac:dyDescent="0.35">
      <c r="A11" s="22">
        <v>1</v>
      </c>
      <c r="B11" s="15">
        <v>44686</v>
      </c>
      <c r="C11">
        <v>1</v>
      </c>
      <c r="D11" t="str">
        <f>Table13[[#This Row],[Nanopore_Run]] &amp; "_" &amp; Table13[[#This Row],[Barcode_ID]]</f>
        <v>1_1</v>
      </c>
      <c r="E11">
        <v>906</v>
      </c>
      <c r="F11">
        <f>IF(COUNTIF($D$8:D11, D11)=1, Table13[[#This Row],[Reads count]], 0)</f>
        <v>0</v>
      </c>
      <c r="G11" s="16">
        <v>90.465864679911306</v>
      </c>
      <c r="H11" t="s">
        <v>85</v>
      </c>
      <c r="I11" s="1" t="s">
        <v>86</v>
      </c>
      <c r="J11" t="s">
        <v>48</v>
      </c>
      <c r="K11" t="str">
        <f t="shared" si="0"/>
        <v>1_1_KinetRC / iLSUr</v>
      </c>
      <c r="L11">
        <v>0</v>
      </c>
      <c r="M11" t="s">
        <v>26</v>
      </c>
      <c r="N11" t="s">
        <v>49</v>
      </c>
      <c r="O11" t="s">
        <v>28</v>
      </c>
      <c r="P11" s="14">
        <v>2000</v>
      </c>
      <c r="Q11" s="1" t="s">
        <v>257</v>
      </c>
      <c r="R11">
        <v>0</v>
      </c>
      <c r="S11">
        <f>IF(COUNTIF($K$8:K11, K11)=1, Table13[[#This Row],[Cutadapt_Metrics_Total_Reads]], 0)</f>
        <v>0</v>
      </c>
      <c r="T11" s="2">
        <f>(Table13[[#This Row],[Cutadapt_Metrics_Total_Reads]]/Table13[[#This Row],[Reads count]])*100</f>
        <v>0</v>
      </c>
      <c r="U11" s="14" t="s">
        <v>31</v>
      </c>
      <c r="V11" s="14" t="s">
        <v>31</v>
      </c>
      <c r="W11" s="14" t="s">
        <v>31</v>
      </c>
      <c r="X11" s="14" t="s">
        <v>31</v>
      </c>
      <c r="Y11" s="14" t="s">
        <v>31</v>
      </c>
      <c r="Z11" s="14" t="s">
        <v>31</v>
      </c>
      <c r="AA11" t="s">
        <v>31</v>
      </c>
      <c r="AB11" t="s">
        <v>31</v>
      </c>
      <c r="AC11" t="s">
        <v>31</v>
      </c>
      <c r="AD11" t="s">
        <v>31</v>
      </c>
      <c r="AE11" t="s">
        <v>31</v>
      </c>
      <c r="AF11" t="s">
        <v>31</v>
      </c>
      <c r="AG11" t="s">
        <v>31</v>
      </c>
      <c r="AH11" t="s">
        <v>31</v>
      </c>
      <c r="AI11" s="14"/>
      <c r="AJ11" s="14"/>
    </row>
    <row r="12" spans="1:36" ht="14.5" x14ac:dyDescent="0.35">
      <c r="A12" s="22">
        <v>1</v>
      </c>
      <c r="B12" s="15">
        <v>44686</v>
      </c>
      <c r="C12">
        <v>1</v>
      </c>
      <c r="D12" t="str">
        <f>Table13[[#This Row],[Nanopore_Run]] &amp; "_" &amp; Table13[[#This Row],[Barcode_ID]]</f>
        <v>1_1</v>
      </c>
      <c r="E12">
        <v>906</v>
      </c>
      <c r="F12">
        <f>IF(COUNTIF($D$8:D12, D12)=1, Table13[[#This Row],[Reads count]], 0)</f>
        <v>0</v>
      </c>
      <c r="G12" s="16">
        <v>90.465864679911306</v>
      </c>
      <c r="H12" t="s">
        <v>85</v>
      </c>
      <c r="I12" s="1" t="s">
        <v>86</v>
      </c>
      <c r="J12" t="s">
        <v>440</v>
      </c>
      <c r="K12" t="str">
        <f t="shared" si="0"/>
        <v>1_1_KinetF / KinetR</v>
      </c>
      <c r="L12">
        <v>2</v>
      </c>
      <c r="M12" t="s">
        <v>259</v>
      </c>
      <c r="N12" t="s">
        <v>71</v>
      </c>
      <c r="O12" t="s">
        <v>72</v>
      </c>
      <c r="P12" s="14">
        <v>5000</v>
      </c>
      <c r="Q12" s="1" t="s">
        <v>257</v>
      </c>
      <c r="R12">
        <v>10</v>
      </c>
      <c r="S12">
        <f>IF(COUNTIF($K$8:K12, K12)=1, Table13[[#This Row],[Cutadapt_Metrics_Total_Reads]], 0)</f>
        <v>10</v>
      </c>
      <c r="T12" s="2">
        <f>(Table13[[#This Row],[Cutadapt_Metrics_Total_Reads]]/Table13[[#This Row],[Reads count]])*100</f>
        <v>1.1037527593818985</v>
      </c>
      <c r="U12" t="s">
        <v>91</v>
      </c>
      <c r="V12" t="str">
        <f>Table13[[#This Row],[Amplicon_consensus]] &amp; "_Run" &amp; A12 &amp; "_Barcode" &amp; C12 &amp; "_" &amp; Table13[[#This Row],[Host]] &amp; "_" &amp; Table13[[#This Row],[Primers]]</f>
        <v>&gt;consensus_cl_id_1_total_supporting_reads_8_Run1_Barcode1_Aphomia sociella_KinetF / KinetR</v>
      </c>
      <c r="W12" s="14">
        <v>8</v>
      </c>
      <c r="X12" s="17">
        <f>(Table13[[#This Row],[Supported_by_x_reads]]/Table13[[#This Row],[Cutadapt_Metrics_Total_Reads]])*100</f>
        <v>80</v>
      </c>
      <c r="Y12" t="s">
        <v>92</v>
      </c>
      <c r="Z12">
        <f>LEN(Table13[[#This Row],[Sequence]])</f>
        <v>1903</v>
      </c>
      <c r="AA12" t="s">
        <v>66</v>
      </c>
      <c r="AB12" t="s">
        <v>383</v>
      </c>
      <c r="AC12">
        <v>92</v>
      </c>
      <c r="AD12">
        <v>99.7</v>
      </c>
      <c r="AE12" t="s">
        <v>67</v>
      </c>
      <c r="AG12" t="s">
        <v>54</v>
      </c>
      <c r="AH12" t="s">
        <v>31</v>
      </c>
    </row>
    <row r="13" spans="1:36" ht="14.5" x14ac:dyDescent="0.35">
      <c r="A13" s="22">
        <v>1</v>
      </c>
      <c r="B13" s="15">
        <v>44686</v>
      </c>
      <c r="C13">
        <v>1</v>
      </c>
      <c r="D13" t="str">
        <f>Table13[[#This Row],[Nanopore_Run]] &amp; "_" &amp; Table13[[#This Row],[Barcode_ID]]</f>
        <v>1_1</v>
      </c>
      <c r="E13">
        <v>906</v>
      </c>
      <c r="F13">
        <f>IF(COUNTIF($D$8:D13, D13)=1, Table13[[#This Row],[Reads count]], 0)</f>
        <v>0</v>
      </c>
      <c r="G13" s="16">
        <v>90.465864679911306</v>
      </c>
      <c r="H13" t="s">
        <v>85</v>
      </c>
      <c r="I13" s="1" t="s">
        <v>86</v>
      </c>
      <c r="J13" t="s">
        <v>440</v>
      </c>
      <c r="K13" t="str">
        <f t="shared" si="0"/>
        <v>1_1_KinetF / KinetR</v>
      </c>
      <c r="L13">
        <v>2</v>
      </c>
      <c r="M13" t="s">
        <v>259</v>
      </c>
      <c r="N13" t="s">
        <v>71</v>
      </c>
      <c r="O13" t="s">
        <v>72</v>
      </c>
      <c r="P13" s="14">
        <v>5000</v>
      </c>
      <c r="Q13" s="1" t="s">
        <v>257</v>
      </c>
      <c r="R13">
        <v>10</v>
      </c>
      <c r="S13">
        <f>IF(COUNTIF($K$8:K13, K13)=1, Table13[[#This Row],[Cutadapt_Metrics_Total_Reads]], 0)</f>
        <v>0</v>
      </c>
      <c r="T13" s="2">
        <f>(Table13[[#This Row],[Cutadapt_Metrics_Total_Reads]]/Table13[[#This Row],[Reads count]])*100</f>
        <v>1.1037527593818985</v>
      </c>
      <c r="U13" t="s">
        <v>384</v>
      </c>
      <c r="V13" t="str">
        <f>Table13[[#This Row],[Amplicon_consensus]] &amp; "_Run" &amp; A13 &amp; "_Barcode" &amp; C13 &amp; "_" &amp; Table13[[#This Row],[Host]] &amp; "_" &amp; Table13[[#This Row],[Primers]]</f>
        <v>&gt;consensus_cl_id_3_total_supporting_reads_2_Run1_Barcode1_Aphomia sociella_KinetF / KinetR</v>
      </c>
      <c r="W13" s="14">
        <v>2</v>
      </c>
      <c r="X13" s="17">
        <f>(Table13[[#This Row],[Supported_by_x_reads]]/Table13[[#This Row],[Cutadapt_Metrics_Total_Reads]])*100</f>
        <v>20</v>
      </c>
      <c r="Y13" t="s">
        <v>385</v>
      </c>
      <c r="Z13">
        <f>LEN(Table13[[#This Row],[Sequence]])</f>
        <v>2045</v>
      </c>
      <c r="AA13" t="s">
        <v>386</v>
      </c>
      <c r="AB13" t="s">
        <v>290</v>
      </c>
      <c r="AC13">
        <v>83</v>
      </c>
      <c r="AD13">
        <v>94.4</v>
      </c>
      <c r="AE13" t="s">
        <v>47</v>
      </c>
      <c r="AF13" t="s">
        <v>32</v>
      </c>
      <c r="AG13" t="s">
        <v>32</v>
      </c>
      <c r="AH13" t="str" cm="1">
        <f t="array" ref="AH13">ReverseComplement(Table13[[#This Row],[Sequence]])</f>
        <v>CACACACACACACACACACACACACACACACACTGACAACTTTCTTCAGCACCTGAATCATTTAAAATGCATTCAGGGGAGCGTCGCGTTTCTCAACAGCGATGATGGATAACCTCACACCGACACCGTGATTAACCGTGACGGTCAGGAGAGGGGGTGTTGGCCGTTCAACAGCGGTGGGACGCGATGTGCTGGTTGATTCCGGTGACGCGAGACTCTGCTGCACAGATGCGTCAGTGGCGGGTATGCGTGGTGCACTGATGGCGACGGATTAAATCATCGAGAGGGACCGTCGATCACCGCAGAGAGGCAATAACAGGTCTGTGATGCCCTAAGATGTCTTGGCTGCCAGTAGTCATATGCTTGTTTCAAAGATTAAGCCATGCAAGTCCGCGTACAAGCTTTATACGGCAAACCAACGAATAGCTCATTACAACAGTTATAATCCACACGAAGATCATTACCAAATGGATATCCATGGTAATTCTGGAGCTATACATGCAAAAACACCCGACTTCTCAGAAGGGTGGCATCCATTAGCATTGGAACCATCCAGGTTTTCGGACCTGTTCTTGGTGATCATAATGACCGAGCGGATCGCATCTGCGACAGTTCGTTCGAGTTTCTGACCTATCGGCCCCGTCGGTAGGTATTAGCACCGAGGCTGTGACGGGTAACGGGGAATAGGGTTCGATTCCGGAGAGGGAGCCTGAGAGACGGCTACCACATCTAAGGATGGCAGCAGGCGCGAAATTACCCAATCCCGATACGGGGAGGTAGTGATCAGAAATAGCAACTCAGACCTTTCGGTTCTGTGATTGCAATGAGCGGGAAAGCAAAACTATCAGCGAGTACCTATTGGAGGGCAAGTCTGGTGCCAGCAGCCGCGGTAATTCCAGCCCAATAGCGTATATTAAAATTGCTGCAGTTAAAGCGCCCGTAGTTGATTTCGTCCAAATCGGAGAGACGCCTGTCCGGACTTGTGTTAGTCAGTGCACTTTCAGTTTCGGACTCGTGGATAGCTTCGGCTGTACCGCTCTGTTACTTGAGCAAATTGAGTGCTCCAACCAGGCTATAGCTTAAACAGCTCAGCATGGAATACCAACATAGGGAATCAGATCCTCCTTGTTGGTGACGTGGAACAAAAGTAATGGTTGATAAGGACATACGGGGGCATCTTACATGCTGGAGAGAGGTGAAATTCTAAGACCCAGCAAAGACAAACAAGTGCGAAAGCATTTGCCCAGTGTGTGCCTGTTAATCAAGGACGAAAGTTGGGGGATCGAAGACGCTTAGATACCGTCGAAGTCCCAACTATAAACTATGCCGACTGAGGATCGGAGGCTGCACAAATACGACTCCCGCACTCCAAGAGAAATCTAAGTCTCTGGGCCCTGGGGGAGTATGGTCGCAAGGCTGAAACTTAAAGAATTGACGGAAGGGCAAATTGAGGAGTGGAGCCTGCGGCTTAATTTGACCCAACGCGGGGAACCTCACTAGCCCCGACATAGTCATGATTGACAGATTGAGAGTTCTTCGATTCTATGGGTGGTGGTGCATGGCCGTCCTTAGTCGGTGAGGTGACTTGTCTGGTTAATTCCGATAACGGACGAGACCTCGACCTACTAACTAGCCTTCGTTTACTTCGTAAGCGATTGGCTTCTTAGAGGGACTTTGTGAGATCACAAGGAAGTTCGAGCCTATAACAGGTCTGTGATGCCCTTAGATGGCCTGGGCTGCACGTATACAATGACGGAGTCAGCGAGCTCGACCCTACTCCGTACGGAGTGGGAAATCTGTGAAACTCCGTCGTGATAGGGATTGACCTCGCAATTATGGGTCATGAACGAGGAATTCCTAGTAAGGACAAGTCATCACCTTGTGCTGATTACGTCCCTGCCCTTTGTACACACCGCCCGTCGTTTCAACCGATTGGATGATCCGCAAATTGCATGGACTTACGTAGCCGCTTTGTTCTACATCGCTCTTCGTGAGGAAATGTTGTGAGCCTTATCATCTAGAGGATGAAGAAGTCGTAACACGGT</v>
      </c>
    </row>
    <row r="14" spans="1:36" ht="14.5" x14ac:dyDescent="0.35">
      <c r="A14" s="22">
        <v>1</v>
      </c>
      <c r="B14" s="15">
        <v>44686</v>
      </c>
      <c r="C14">
        <v>1</v>
      </c>
      <c r="D14" t="str">
        <f>Table13[[#This Row],[Nanopore_Run]] &amp; "_" &amp; Table13[[#This Row],[Barcode_ID]]</f>
        <v>1_1</v>
      </c>
      <c r="E14">
        <v>906</v>
      </c>
      <c r="F14">
        <f>IF(COUNTIF($D$8:D14, D14)=1, Table13[[#This Row],[Reads count]], 0)</f>
        <v>0</v>
      </c>
      <c r="G14" s="16">
        <v>90.465864679911306</v>
      </c>
      <c r="H14" t="s">
        <v>85</v>
      </c>
      <c r="I14" s="1" t="s">
        <v>86</v>
      </c>
      <c r="J14" t="s">
        <v>93</v>
      </c>
      <c r="K14" t="str">
        <f t="shared" si="0"/>
        <v>1_1_GregF / GregR</v>
      </c>
      <c r="L14">
        <v>4</v>
      </c>
      <c r="M14" t="s">
        <v>259</v>
      </c>
      <c r="N14" s="19" t="s">
        <v>94</v>
      </c>
      <c r="O14" t="s">
        <v>95</v>
      </c>
      <c r="P14" s="14">
        <v>300</v>
      </c>
      <c r="Q14" s="1" t="s">
        <v>47</v>
      </c>
      <c r="R14" s="14">
        <v>18</v>
      </c>
      <c r="S14">
        <f>IF(COUNTIF($K$8:K14, K14)=1, Table13[[#This Row],[Cutadapt_Metrics_Total_Reads]], 0)</f>
        <v>18</v>
      </c>
      <c r="T14" s="2">
        <f>(Table13[[#This Row],[Cutadapt_Metrics_Total_Reads]]/Table13[[#This Row],[Reads count]])*100</f>
        <v>1.9867549668874174</v>
      </c>
      <c r="U14" t="s">
        <v>497</v>
      </c>
      <c r="V14" t="str">
        <f>Table13[[#This Row],[Amplicon_consensus]] &amp; "_Run" &amp; A14 &amp; "_Barcode" &amp; C14 &amp; "_" &amp; Table13[[#This Row],[Host]] &amp; "_" &amp; Table13[[#This Row],[Primers]]</f>
        <v xml:space="preserve">&gt;consensus_cl_id_8_total_supporting_reads_2_Run1_Barcode1_Aphomia sociella_GregF / GregR </v>
      </c>
      <c r="W14">
        <v>2</v>
      </c>
      <c r="X14" s="17">
        <f>(Table13[[#This Row],[Supported_by_x_reads]]/Table13[[#This Row],[Cutadapt_Metrics_Total_Reads]])*100</f>
        <v>11.111111111111111</v>
      </c>
      <c r="Y14" t="s">
        <v>381</v>
      </c>
      <c r="Z14">
        <f>LEN(Table13[[#This Row],[Sequence]])</f>
        <v>322</v>
      </c>
      <c r="AA14" t="s">
        <v>244</v>
      </c>
      <c r="AB14" t="s">
        <v>382</v>
      </c>
      <c r="AC14">
        <v>75</v>
      </c>
      <c r="AD14">
        <v>95.9</v>
      </c>
      <c r="AE14" t="s">
        <v>430</v>
      </c>
      <c r="AF14" t="s">
        <v>54</v>
      </c>
      <c r="AG14" t="s">
        <v>31</v>
      </c>
      <c r="AH14" t="s">
        <v>31</v>
      </c>
    </row>
    <row r="15" spans="1:36" ht="14.5" x14ac:dyDescent="0.35">
      <c r="A15" s="22">
        <v>1</v>
      </c>
      <c r="B15" s="15">
        <v>44686</v>
      </c>
      <c r="C15">
        <v>1</v>
      </c>
      <c r="D15" t="str">
        <f>Table13[[#This Row],[Nanopore_Run]] &amp; "_" &amp; Table13[[#This Row],[Barcode_ID]]</f>
        <v>1_1</v>
      </c>
      <c r="E15">
        <v>906</v>
      </c>
      <c r="F15">
        <f>IF(COUNTIF($D$8:D15, D15)=1, Table13[[#This Row],[Reads count]], 0)</f>
        <v>0</v>
      </c>
      <c r="G15" s="16">
        <v>90.465864679911306</v>
      </c>
      <c r="H15" t="s">
        <v>85</v>
      </c>
      <c r="I15" s="1" t="s">
        <v>86</v>
      </c>
      <c r="J15" t="s">
        <v>93</v>
      </c>
      <c r="K15" t="str">
        <f t="shared" si="0"/>
        <v>1_1_GregF / GregR</v>
      </c>
      <c r="L15">
        <v>4</v>
      </c>
      <c r="M15" t="s">
        <v>259</v>
      </c>
      <c r="N15" s="19" t="s">
        <v>94</v>
      </c>
      <c r="O15" t="s">
        <v>95</v>
      </c>
      <c r="P15" s="14">
        <v>300</v>
      </c>
      <c r="Q15" s="1" t="s">
        <v>47</v>
      </c>
      <c r="R15" s="14">
        <v>18</v>
      </c>
      <c r="S15">
        <f>IF(COUNTIF($K$8:K15, K15)=1, Table13[[#This Row],[Cutadapt_Metrics_Total_Reads]], 0)</f>
        <v>0</v>
      </c>
      <c r="T15" s="2">
        <f>(Table13[[#This Row],[Cutadapt_Metrics_Total_Reads]]/Table13[[#This Row],[Reads count]])*100</f>
        <v>1.9867549668874174</v>
      </c>
      <c r="U15" t="s">
        <v>379</v>
      </c>
      <c r="V15" t="str">
        <f>Table13[[#This Row],[Amplicon_consensus]] &amp; "_Run" &amp; A15 &amp; "_Barcode" &amp; C15 &amp; "_" &amp; Table13[[#This Row],[Host]] &amp; "_" &amp; Table13[[#This Row],[Primers]]</f>
        <v xml:space="preserve">&gt;consensus_cl_id_5_total_supporting_reads_2_Run1_Barcode1_Aphomia sociella_GregF / GregR </v>
      </c>
      <c r="W15">
        <v>2</v>
      </c>
      <c r="X15" s="17">
        <f>(Table13[[#This Row],[Supported_by_x_reads]]/Table13[[#This Row],[Cutadapt_Metrics_Total_Reads]])*100</f>
        <v>11.111111111111111</v>
      </c>
      <c r="Y15" t="s">
        <v>380</v>
      </c>
      <c r="Z15">
        <f>LEN(Table13[[#This Row],[Sequence]])</f>
        <v>329</v>
      </c>
      <c r="AA15" t="s">
        <v>266</v>
      </c>
      <c r="AB15" t="s">
        <v>290</v>
      </c>
      <c r="AC15">
        <v>93</v>
      </c>
      <c r="AD15">
        <v>94.8</v>
      </c>
      <c r="AE15" t="s">
        <v>47</v>
      </c>
      <c r="AF15" t="s">
        <v>54</v>
      </c>
      <c r="AG15" t="s">
        <v>54</v>
      </c>
      <c r="AH15" t="s">
        <v>31</v>
      </c>
    </row>
    <row r="16" spans="1:36" ht="14.5" x14ac:dyDescent="0.35">
      <c r="A16" s="22">
        <v>1</v>
      </c>
      <c r="B16" s="15">
        <v>44686</v>
      </c>
      <c r="C16">
        <v>1</v>
      </c>
      <c r="D16" t="str">
        <f>Table13[[#This Row],[Nanopore_Run]] &amp; "_" &amp; Table13[[#This Row],[Barcode_ID]]</f>
        <v>1_1</v>
      </c>
      <c r="E16">
        <v>906</v>
      </c>
      <c r="F16">
        <f>IF(COUNTIF($D$8:D16, D16)=1, Table13[[#This Row],[Reads count]], 0)</f>
        <v>0</v>
      </c>
      <c r="G16" s="16">
        <v>90.465864679911306</v>
      </c>
      <c r="H16" t="s">
        <v>85</v>
      </c>
      <c r="I16" s="1" t="s">
        <v>86</v>
      </c>
      <c r="J16" t="s">
        <v>93</v>
      </c>
      <c r="K16" t="str">
        <f t="shared" si="0"/>
        <v>1_1_GregF / GregR</v>
      </c>
      <c r="L16">
        <v>4</v>
      </c>
      <c r="M16" t="s">
        <v>259</v>
      </c>
      <c r="N16" s="19" t="s">
        <v>94</v>
      </c>
      <c r="O16" t="s">
        <v>95</v>
      </c>
      <c r="P16" s="14">
        <v>300</v>
      </c>
      <c r="Q16" s="1" t="s">
        <v>47</v>
      </c>
      <c r="R16" s="14">
        <v>18</v>
      </c>
      <c r="S16">
        <f>IF(COUNTIF($K$8:K16, K16)=1, Table13[[#This Row],[Cutadapt_Metrics_Total_Reads]], 0)</f>
        <v>0</v>
      </c>
      <c r="T16" s="2">
        <f>(Table13[[#This Row],[Cutadapt_Metrics_Total_Reads]]/Table13[[#This Row],[Reads count]])*100</f>
        <v>1.9867549668874174</v>
      </c>
      <c r="U16" t="s">
        <v>350</v>
      </c>
      <c r="V16" t="str">
        <f>Table13[[#This Row],[Amplicon_consensus]] &amp; "_Run" &amp; A16 &amp; "_Barcode" &amp; C16 &amp; "_" &amp; Table13[[#This Row],[Host]] &amp; "_" &amp; Table13[[#This Row],[Primers]]</f>
        <v xml:space="preserve">&gt;consensus_cl_id_2_total_supporting_reads_1_Run1_Barcode1_Aphomia sociella_GregF / GregR </v>
      </c>
      <c r="W16">
        <v>1</v>
      </c>
      <c r="X16" s="17">
        <f>(Table13[[#This Row],[Supported_by_x_reads]]/Table13[[#This Row],[Cutadapt_Metrics_Total_Reads]])*100</f>
        <v>5.5555555555555554</v>
      </c>
      <c r="Y16" t="s">
        <v>377</v>
      </c>
      <c r="Z16">
        <f>LEN(Table13[[#This Row],[Sequence]])</f>
        <v>341</v>
      </c>
      <c r="AA16" t="s">
        <v>376</v>
      </c>
      <c r="AB16" t="s">
        <v>378</v>
      </c>
      <c r="AC16">
        <v>99</v>
      </c>
      <c r="AD16">
        <v>94.4</v>
      </c>
      <c r="AE16" t="s">
        <v>67</v>
      </c>
      <c r="AF16" t="s">
        <v>54</v>
      </c>
      <c r="AG16" t="s">
        <v>31</v>
      </c>
      <c r="AH16" t="s">
        <v>31</v>
      </c>
    </row>
    <row r="17" spans="1:36" ht="14.5" x14ac:dyDescent="0.35">
      <c r="A17" s="22">
        <v>1</v>
      </c>
      <c r="B17" s="15">
        <v>44686</v>
      </c>
      <c r="C17">
        <v>1</v>
      </c>
      <c r="D17" t="str">
        <f>Table13[[#This Row],[Nanopore_Run]] &amp; "_" &amp; Table13[[#This Row],[Barcode_ID]]</f>
        <v>1_1</v>
      </c>
      <c r="E17">
        <v>906</v>
      </c>
      <c r="F17">
        <f>IF(COUNTIF($D$8:D17, D17)=1, Table13[[#This Row],[Reads count]], 0)</f>
        <v>0</v>
      </c>
      <c r="G17" s="16">
        <v>90.465864679911306</v>
      </c>
      <c r="H17" t="s">
        <v>85</v>
      </c>
      <c r="I17" s="1" t="s">
        <v>86</v>
      </c>
      <c r="J17" t="s">
        <v>93</v>
      </c>
      <c r="K17" t="str">
        <f t="shared" si="0"/>
        <v>1_1_GregF / GregR</v>
      </c>
      <c r="L17">
        <v>4</v>
      </c>
      <c r="M17" t="s">
        <v>259</v>
      </c>
      <c r="N17" s="19" t="s">
        <v>94</v>
      </c>
      <c r="O17" t="s">
        <v>95</v>
      </c>
      <c r="P17" s="14">
        <v>300</v>
      </c>
      <c r="Q17" s="1" t="s">
        <v>47</v>
      </c>
      <c r="R17" s="14">
        <v>18</v>
      </c>
      <c r="S17">
        <f>IF(COUNTIF($K$8:K17, K17)=1, Table13[[#This Row],[Cutadapt_Metrics_Total_Reads]], 0)</f>
        <v>0</v>
      </c>
      <c r="T17" s="2">
        <f>(Table13[[#This Row],[Cutadapt_Metrics_Total_Reads]]/Table13[[#This Row],[Reads count]])*100</f>
        <v>1.9867549668874174</v>
      </c>
      <c r="U17" t="s">
        <v>96</v>
      </c>
      <c r="V17" t="str">
        <f>Table13[[#This Row],[Amplicon_consensus]] &amp; "_Run" &amp; A17 &amp; "_Barcode" &amp; C17 &amp; "_" &amp; Table13[[#This Row],[Host]] &amp; "_" &amp; Table13[[#This Row],[Primers]]</f>
        <v xml:space="preserve">&gt;consensus_cl_id_1_total_supporting_reads_11_Run1_Barcode1_Aphomia sociella_GregF / GregR </v>
      </c>
      <c r="W17">
        <v>11</v>
      </c>
      <c r="X17" s="17">
        <f>(Table13[[#This Row],[Supported_by_x_reads]]/Table13[[#This Row],[Cutadapt_Metrics_Total_Reads]])*100</f>
        <v>61.111111111111114</v>
      </c>
      <c r="Y17" t="s">
        <v>97</v>
      </c>
      <c r="Z17">
        <f>LEN(Table13[[#This Row],[Sequence]])</f>
        <v>321</v>
      </c>
      <c r="AA17" t="s">
        <v>266</v>
      </c>
      <c r="AB17" t="s">
        <v>290</v>
      </c>
      <c r="AC17">
        <v>98</v>
      </c>
      <c r="AD17">
        <v>99.4</v>
      </c>
      <c r="AE17" t="s">
        <v>47</v>
      </c>
      <c r="AF17" t="s">
        <v>32</v>
      </c>
      <c r="AG17" t="s">
        <v>32</v>
      </c>
      <c r="AH17" t="s">
        <v>98</v>
      </c>
    </row>
    <row r="18" spans="1:36" ht="14.5" x14ac:dyDescent="0.35">
      <c r="A18" s="22">
        <v>1</v>
      </c>
      <c r="B18" s="15">
        <v>44686</v>
      </c>
      <c r="C18">
        <v>1</v>
      </c>
      <c r="D18" t="str">
        <f>Table13[[#This Row],[Nanopore_Run]] &amp; "_" &amp; Table13[[#This Row],[Barcode_ID]]</f>
        <v>1_1</v>
      </c>
      <c r="E18">
        <v>906</v>
      </c>
      <c r="F18">
        <f>IF(COUNTIF($D$8:D18, D18)=1, Table13[[#This Row],[Reads count]], 0)</f>
        <v>0</v>
      </c>
      <c r="G18" s="16">
        <v>90.465864679911306</v>
      </c>
      <c r="H18" t="s">
        <v>85</v>
      </c>
      <c r="I18" s="1" t="s">
        <v>86</v>
      </c>
      <c r="J18" t="s">
        <v>75</v>
      </c>
      <c r="K18" t="str">
        <f t="shared" si="0"/>
        <v>1_1_Am</v>
      </c>
      <c r="L18">
        <v>3</v>
      </c>
      <c r="M18" t="s">
        <v>259</v>
      </c>
      <c r="N18" t="s">
        <v>76</v>
      </c>
      <c r="O18" t="s">
        <v>77</v>
      </c>
      <c r="P18" s="14">
        <v>400</v>
      </c>
      <c r="Q18" s="1" t="s">
        <v>37</v>
      </c>
      <c r="R18">
        <v>285</v>
      </c>
      <c r="S18">
        <f>IF(COUNTIF($K$8:K18, K18)=1, Table13[[#This Row],[Cutadapt_Metrics_Total_Reads]], 0)</f>
        <v>285</v>
      </c>
      <c r="T18" s="2">
        <f>(Table13[[#This Row],[Cutadapt_Metrics_Total_Reads]]/Table13[[#This Row],[Reads count]])*100</f>
        <v>31.456953642384107</v>
      </c>
      <c r="U18" t="s">
        <v>372</v>
      </c>
      <c r="V18" t="str">
        <f>Table13[[#This Row],[Amplicon_consensus]] &amp; "_Run" &amp; A18 &amp; "_Barcode" &amp; C18 &amp; "_" &amp; Table13[[#This Row],[Host]] &amp; "_" &amp; Table13[[#This Row],[Primers]]</f>
        <v>&gt;consensus_cl_id_20_total_supporting_reads_40_Run1_Barcode1_Aphomia sociella_Am</v>
      </c>
      <c r="W18">
        <v>40</v>
      </c>
      <c r="X18" s="17">
        <f>(Table13[[#This Row],[Supported_by_x_reads]]/Table13[[#This Row],[Cutadapt_Metrics_Total_Reads]])*100</f>
        <v>14.035087719298245</v>
      </c>
      <c r="Y18" t="s">
        <v>373</v>
      </c>
      <c r="Z18">
        <f>LEN(Table13[[#This Row],[Sequence]])</f>
        <v>552</v>
      </c>
      <c r="AA18" t="s">
        <v>64</v>
      </c>
      <c r="AB18" t="s">
        <v>371</v>
      </c>
      <c r="AC18">
        <v>59</v>
      </c>
      <c r="AD18">
        <v>98.8</v>
      </c>
      <c r="AE18" t="s">
        <v>430</v>
      </c>
      <c r="AF18" t="s">
        <v>54</v>
      </c>
      <c r="AG18" t="s">
        <v>31</v>
      </c>
      <c r="AH18" t="s">
        <v>31</v>
      </c>
    </row>
    <row r="19" spans="1:36" ht="14.5" x14ac:dyDescent="0.35">
      <c r="A19" s="22">
        <v>1</v>
      </c>
      <c r="B19" s="15">
        <v>44686</v>
      </c>
      <c r="C19">
        <v>1</v>
      </c>
      <c r="D19" t="str">
        <f>Table13[[#This Row],[Nanopore_Run]] &amp; "_" &amp; Table13[[#This Row],[Barcode_ID]]</f>
        <v>1_1</v>
      </c>
      <c r="E19">
        <v>906</v>
      </c>
      <c r="F19">
        <f>IF(COUNTIF($D$8:D19, D19)=1, Table13[[#This Row],[Reads count]], 0)</f>
        <v>0</v>
      </c>
      <c r="G19" s="16">
        <v>90.465864679911306</v>
      </c>
      <c r="H19" t="s">
        <v>85</v>
      </c>
      <c r="I19" s="1" t="s">
        <v>86</v>
      </c>
      <c r="J19" t="s">
        <v>75</v>
      </c>
      <c r="K19" t="str">
        <f t="shared" si="0"/>
        <v>1_1_Am</v>
      </c>
      <c r="L19">
        <v>3</v>
      </c>
      <c r="M19" t="s">
        <v>259</v>
      </c>
      <c r="N19" t="s">
        <v>76</v>
      </c>
      <c r="O19" t="s">
        <v>77</v>
      </c>
      <c r="P19" s="14">
        <v>400</v>
      </c>
      <c r="Q19" s="1" t="s">
        <v>37</v>
      </c>
      <c r="R19">
        <v>285</v>
      </c>
      <c r="S19">
        <f>IF(COUNTIF($K$8:K19, K19)=1, Table13[[#This Row],[Cutadapt_Metrics_Total_Reads]], 0)</f>
        <v>0</v>
      </c>
      <c r="T19" s="2">
        <f>(Table13[[#This Row],[Cutadapt_Metrics_Total_Reads]]/Table13[[#This Row],[Reads count]])*100</f>
        <v>31.456953642384107</v>
      </c>
      <c r="U19" t="s">
        <v>374</v>
      </c>
      <c r="V19" t="str">
        <f>Table13[[#This Row],[Amplicon_consensus]] &amp; "_Run" &amp; A19 &amp; "_Barcode" &amp; C19 &amp; "_" &amp; Table13[[#This Row],[Host]] &amp; "_" &amp; Table13[[#This Row],[Primers]]</f>
        <v>&gt;consensus_cl_id_3_total_supporting_reads_48_Run1_Barcode1_Aphomia sociella_Am</v>
      </c>
      <c r="W19">
        <v>48</v>
      </c>
      <c r="X19" s="17">
        <f>(Table13[[#This Row],[Supported_by_x_reads]]/Table13[[#This Row],[Cutadapt_Metrics_Total_Reads]])*100</f>
        <v>16.842105263157894</v>
      </c>
      <c r="Y19" t="s">
        <v>375</v>
      </c>
      <c r="Z19">
        <f>LEN(Table13[[#This Row],[Sequence]])</f>
        <v>560</v>
      </c>
      <c r="AA19" t="s">
        <v>64</v>
      </c>
      <c r="AB19" t="s">
        <v>371</v>
      </c>
      <c r="AC19">
        <v>62</v>
      </c>
      <c r="AD19">
        <v>98.9</v>
      </c>
      <c r="AE19" t="s">
        <v>430</v>
      </c>
      <c r="AF19" t="s">
        <v>54</v>
      </c>
      <c r="AG19" t="s">
        <v>31</v>
      </c>
      <c r="AH19" t="s">
        <v>31</v>
      </c>
    </row>
    <row r="20" spans="1:36" ht="14.5" x14ac:dyDescent="0.35">
      <c r="A20" s="22">
        <v>1</v>
      </c>
      <c r="B20" s="15">
        <v>44686</v>
      </c>
      <c r="C20">
        <v>1</v>
      </c>
      <c r="D20" t="str">
        <f>Table13[[#This Row],[Nanopore_Run]] &amp; "_" &amp; Table13[[#This Row],[Barcode_ID]]</f>
        <v>1_1</v>
      </c>
      <c r="E20">
        <v>906</v>
      </c>
      <c r="F20">
        <f>IF(COUNTIF($D$8:D20, D20)=1, Table13[[#This Row],[Reads count]], 0)</f>
        <v>0</v>
      </c>
      <c r="G20" s="16">
        <v>90.465864679911306</v>
      </c>
      <c r="H20" t="s">
        <v>85</v>
      </c>
      <c r="I20" s="1" t="s">
        <v>86</v>
      </c>
      <c r="J20" t="s">
        <v>75</v>
      </c>
      <c r="K20" t="str">
        <f t="shared" si="0"/>
        <v>1_1_Am</v>
      </c>
      <c r="L20">
        <v>3</v>
      </c>
      <c r="M20" t="s">
        <v>259</v>
      </c>
      <c r="N20" t="s">
        <v>76</v>
      </c>
      <c r="O20" t="s">
        <v>77</v>
      </c>
      <c r="P20" s="14">
        <v>400</v>
      </c>
      <c r="Q20" s="1" t="s">
        <v>37</v>
      </c>
      <c r="R20">
        <v>285</v>
      </c>
      <c r="S20">
        <f>IF(COUNTIF($K$8:K20, K20)=1, Table13[[#This Row],[Cutadapt_Metrics_Total_Reads]], 0)</f>
        <v>0</v>
      </c>
      <c r="T20" s="2">
        <f>(Table13[[#This Row],[Cutadapt_Metrics_Total_Reads]]/Table13[[#This Row],[Reads count]])*100</f>
        <v>31.456953642384107</v>
      </c>
      <c r="U20" t="s">
        <v>99</v>
      </c>
      <c r="V20" t="str">
        <f>Table13[[#This Row],[Amplicon_consensus]] &amp; "_Run" &amp; A20 &amp; "_Barcode" &amp; C20 &amp; "_" &amp; Table13[[#This Row],[Host]] &amp; "_" &amp; Table13[[#This Row],[Primers]]</f>
        <v>&gt;consensus_cl_id_6_total_supporting_reads_104_Run1_Barcode1_Aphomia sociella_Am</v>
      </c>
      <c r="W20">
        <v>104</v>
      </c>
      <c r="X20" s="17">
        <f>(Table13[[#This Row],[Supported_by_x_reads]]/Table13[[#This Row],[Cutadapt_Metrics_Total_Reads]])*100</f>
        <v>36.491228070175438</v>
      </c>
      <c r="Y20" t="s">
        <v>100</v>
      </c>
      <c r="Z20">
        <f>LEN(Table13[[#This Row],[Sequence]])</f>
        <v>386</v>
      </c>
      <c r="AA20" t="s">
        <v>64</v>
      </c>
      <c r="AB20" t="s">
        <v>371</v>
      </c>
      <c r="AC20">
        <v>85</v>
      </c>
      <c r="AD20">
        <v>99.4</v>
      </c>
      <c r="AE20" t="s">
        <v>430</v>
      </c>
      <c r="AF20" t="s">
        <v>54</v>
      </c>
      <c r="AG20" t="s">
        <v>31</v>
      </c>
      <c r="AH20" t="s">
        <v>31</v>
      </c>
    </row>
    <row r="21" spans="1:36" ht="14.5" x14ac:dyDescent="0.35">
      <c r="A21" s="22">
        <v>1</v>
      </c>
      <c r="B21" s="15">
        <v>44686</v>
      </c>
      <c r="C21">
        <v>2</v>
      </c>
      <c r="D21" t="str">
        <f>Table13[[#This Row],[Nanopore_Run]] &amp; "_" &amp; Table13[[#This Row],[Barcode_ID]]</f>
        <v>1_2</v>
      </c>
      <c r="E21">
        <v>938</v>
      </c>
      <c r="F21">
        <f>IF(COUNTIF($D$8:D21, D21)=1, Table13[[#This Row],[Reads count]], 0)</f>
        <v>938</v>
      </c>
      <c r="G21" s="16">
        <v>89.271681769723017</v>
      </c>
      <c r="H21" t="s">
        <v>23</v>
      </c>
      <c r="I21" t="s">
        <v>24</v>
      </c>
      <c r="J21" t="s">
        <v>40</v>
      </c>
      <c r="K21" t="str">
        <f t="shared" si="0"/>
        <v>1_2_CM-V5RC / iLSUr</v>
      </c>
      <c r="L21">
        <v>2</v>
      </c>
      <c r="M21" t="s">
        <v>26</v>
      </c>
      <c r="N21" t="s">
        <v>41</v>
      </c>
      <c r="O21" t="s">
        <v>28</v>
      </c>
      <c r="P21" s="14">
        <v>2800</v>
      </c>
      <c r="Q21" s="1" t="s">
        <v>42</v>
      </c>
      <c r="R21">
        <v>2</v>
      </c>
      <c r="S21">
        <f>IF(COUNTIF($K$8:K21, K21)=1, Table13[[#This Row],[Cutadapt_Metrics_Total_Reads]], 0)</f>
        <v>2</v>
      </c>
      <c r="T21" s="2">
        <f>(Table13[[#This Row],[Cutadapt_Metrics_Total_Reads]]/Table13[[#This Row],[Reads count]])*100</f>
        <v>0.21321961620469082</v>
      </c>
      <c r="U21" t="s">
        <v>43</v>
      </c>
      <c r="V21" t="str">
        <f>Table13[[#This Row],[Amplicon_consensus]] &amp; "_Run" &amp; A21 &amp; "_Barcode" &amp; C21 &amp; "_" &amp; Table13[[#This Row],[Host]] &amp; "_" &amp; Table13[[#This Row],[Primers]]</f>
        <v>&gt;consensus_cl_id_0_total_supporting_reads_1_Run1_Barcode2_Gryllus bimaculatus_CM-V5RC / iLSUr</v>
      </c>
      <c r="W21">
        <v>1</v>
      </c>
      <c r="X21" s="17">
        <f>(Table13[[#This Row],[Supported_by_x_reads]]/Table13[[#This Row],[Cutadapt_Metrics_Total_Reads]])*100</f>
        <v>50</v>
      </c>
      <c r="Y21" t="s">
        <v>106</v>
      </c>
      <c r="Z21">
        <f>LEN(Table13[[#This Row],[Sequence]])</f>
        <v>2885</v>
      </c>
      <c r="AA21" t="s">
        <v>260</v>
      </c>
      <c r="AB21" t="s">
        <v>392</v>
      </c>
      <c r="AC21">
        <v>61</v>
      </c>
      <c r="AD21">
        <v>94.6</v>
      </c>
      <c r="AE21" t="s">
        <v>67</v>
      </c>
      <c r="AF21" t="s">
        <v>54</v>
      </c>
      <c r="AG21" t="s">
        <v>31</v>
      </c>
      <c r="AH21" t="s">
        <v>31</v>
      </c>
    </row>
    <row r="22" spans="1:36" ht="14.5" x14ac:dyDescent="0.35">
      <c r="A22" s="22">
        <v>1</v>
      </c>
      <c r="B22" s="15">
        <v>44686</v>
      </c>
      <c r="C22">
        <v>2</v>
      </c>
      <c r="D22" t="str">
        <f>Table13[[#This Row],[Nanopore_Run]] &amp; "_" &amp; Table13[[#This Row],[Barcode_ID]]</f>
        <v>1_2</v>
      </c>
      <c r="E22">
        <v>938</v>
      </c>
      <c r="F22">
        <f>IF(COUNTIF($D$8:D22, D22)=1, Table13[[#This Row],[Reads count]], 0)</f>
        <v>0</v>
      </c>
      <c r="G22" s="16">
        <v>89.271681769723017</v>
      </c>
      <c r="H22" t="s">
        <v>23</v>
      </c>
      <c r="I22" t="s">
        <v>24</v>
      </c>
      <c r="J22" t="s">
        <v>40</v>
      </c>
      <c r="K22" t="str">
        <f t="shared" si="0"/>
        <v>1_2_CM-V5RC / iLSUr</v>
      </c>
      <c r="L22">
        <v>2</v>
      </c>
      <c r="M22" t="s">
        <v>26</v>
      </c>
      <c r="N22" t="s">
        <v>41</v>
      </c>
      <c r="O22" t="s">
        <v>28</v>
      </c>
      <c r="P22" s="14">
        <v>2800</v>
      </c>
      <c r="Q22" s="1" t="s">
        <v>42</v>
      </c>
      <c r="R22">
        <v>2</v>
      </c>
      <c r="S22">
        <f>IF(COUNTIF($K$8:K22, K22)=1, Table13[[#This Row],[Cutadapt_Metrics_Total_Reads]], 0)</f>
        <v>0</v>
      </c>
      <c r="T22" s="2">
        <f>(Table13[[#This Row],[Cutadapt_Metrics_Total_Reads]]/Table13[[#This Row],[Reads count]])*100</f>
        <v>0.21321961620469082</v>
      </c>
      <c r="U22" t="s">
        <v>346</v>
      </c>
      <c r="V22" t="str">
        <f>Table13[[#This Row],[Amplicon_consensus]] &amp; "_Run" &amp; A22 &amp; "_Barcode" &amp; C22 &amp; "_" &amp; Table13[[#This Row],[Host]] &amp; "_" &amp; Table13[[#This Row],[Primers]]</f>
        <v>&gt;consensus_cl_id_1_total_supporting_reads_1_Run1_Barcode2_Gryllus bimaculatus_CM-V5RC / iLSUr</v>
      </c>
      <c r="W22">
        <v>1</v>
      </c>
      <c r="X22" s="17">
        <f>(Table13[[#This Row],[Supported_by_x_reads]]/Table13[[#This Row],[Cutadapt_Metrics_Total_Reads]])*100</f>
        <v>50</v>
      </c>
      <c r="Y22" t="s">
        <v>391</v>
      </c>
      <c r="Z22">
        <f>LEN(Table13[[#This Row],[Sequence]])</f>
        <v>2866</v>
      </c>
      <c r="AA22" t="s">
        <v>394</v>
      </c>
      <c r="AB22" t="s">
        <v>395</v>
      </c>
      <c r="AC22">
        <v>83</v>
      </c>
      <c r="AD22">
        <v>93.9</v>
      </c>
      <c r="AE22" t="s">
        <v>109</v>
      </c>
      <c r="AF22" t="s">
        <v>54</v>
      </c>
      <c r="AG22" t="s">
        <v>31</v>
      </c>
      <c r="AH22" t="s">
        <v>31</v>
      </c>
    </row>
    <row r="23" spans="1:36" ht="14.5" x14ac:dyDescent="0.35">
      <c r="A23" s="22">
        <v>1</v>
      </c>
      <c r="B23" s="15">
        <v>44686</v>
      </c>
      <c r="C23">
        <v>2</v>
      </c>
      <c r="D23" t="str">
        <f>Table13[[#This Row],[Nanopore_Run]] &amp; "_" &amp; Table13[[#This Row],[Barcode_ID]]</f>
        <v>1_2</v>
      </c>
      <c r="E23">
        <v>938</v>
      </c>
      <c r="F23">
        <f>IF(COUNTIF($D$8:D23, D23)=1, Table13[[#This Row],[Reads count]], 0)</f>
        <v>0</v>
      </c>
      <c r="G23" s="16">
        <v>89.271681769723017</v>
      </c>
      <c r="H23" t="s">
        <v>23</v>
      </c>
      <c r="I23" t="s">
        <v>24</v>
      </c>
      <c r="J23" t="s">
        <v>48</v>
      </c>
      <c r="K23" t="str">
        <f t="shared" si="0"/>
        <v>1_2_KinetRC / iLSUr</v>
      </c>
      <c r="L23">
        <v>2</v>
      </c>
      <c r="M23" t="s">
        <v>26</v>
      </c>
      <c r="N23" t="s">
        <v>49</v>
      </c>
      <c r="O23" t="s">
        <v>28</v>
      </c>
      <c r="P23" s="14">
        <v>2000</v>
      </c>
      <c r="Q23" s="1" t="s">
        <v>257</v>
      </c>
      <c r="R23">
        <v>2</v>
      </c>
      <c r="S23">
        <f>IF(COUNTIF($K$8:K23, K23)=1, Table13[[#This Row],[Cutadapt_Metrics_Total_Reads]], 0)</f>
        <v>2</v>
      </c>
      <c r="T23" s="2">
        <f>(Table13[[#This Row],[Cutadapt_Metrics_Total_Reads]]/Table13[[#This Row],[Reads count]])*100</f>
        <v>0.21321961620469082</v>
      </c>
      <c r="U23" t="s">
        <v>43</v>
      </c>
      <c r="V23" t="str">
        <f>Table13[[#This Row],[Amplicon_consensus]] &amp; "_Run" &amp; A23 &amp; "_Barcode" &amp; C23 &amp; "_" &amp; Table13[[#This Row],[Host]] &amp; "_" &amp; Table13[[#This Row],[Primers]]</f>
        <v>&gt;consensus_cl_id_0_total_supporting_reads_1_Run1_Barcode2_Gryllus bimaculatus_KinetRC / iLSUr</v>
      </c>
      <c r="W23">
        <v>1</v>
      </c>
      <c r="X23" s="17">
        <f>(Table13[[#This Row],[Supported_by_x_reads]]/Table13[[#This Row],[Cutadapt_Metrics_Total_Reads]])*100</f>
        <v>50</v>
      </c>
      <c r="Y23" t="s">
        <v>107</v>
      </c>
      <c r="Z23">
        <f>LEN(Table13[[#This Row],[Sequence]])</f>
        <v>4902</v>
      </c>
      <c r="AA23" t="s">
        <v>366</v>
      </c>
      <c r="AB23" t="s">
        <v>365</v>
      </c>
      <c r="AC23">
        <v>45</v>
      </c>
      <c r="AD23">
        <v>94.1</v>
      </c>
      <c r="AE23" t="s">
        <v>47</v>
      </c>
      <c r="AF23" t="s">
        <v>54</v>
      </c>
      <c r="AG23" t="s">
        <v>31</v>
      </c>
      <c r="AH23" t="s">
        <v>31</v>
      </c>
    </row>
    <row r="24" spans="1:36" ht="14.5" x14ac:dyDescent="0.35">
      <c r="A24" s="22">
        <v>1</v>
      </c>
      <c r="B24" s="15">
        <v>44686</v>
      </c>
      <c r="C24">
        <v>2</v>
      </c>
      <c r="D24" t="str">
        <f>Table13[[#This Row],[Nanopore_Run]] &amp; "_" &amp; Table13[[#This Row],[Barcode_ID]]</f>
        <v>1_2</v>
      </c>
      <c r="E24">
        <v>938</v>
      </c>
      <c r="F24">
        <f>IF(COUNTIF($D$8:D24, D24)=1, Table13[[#This Row],[Reads count]], 0)</f>
        <v>0</v>
      </c>
      <c r="G24" s="16">
        <v>89.271681769723017</v>
      </c>
      <c r="H24" t="s">
        <v>23</v>
      </c>
      <c r="I24" t="s">
        <v>24</v>
      </c>
      <c r="J24" t="s">
        <v>48</v>
      </c>
      <c r="K24" t="str">
        <f t="shared" si="0"/>
        <v>1_2_KinetRC / iLSUr</v>
      </c>
      <c r="L24">
        <v>2</v>
      </c>
      <c r="M24" t="s">
        <v>26</v>
      </c>
      <c r="N24" t="s">
        <v>49</v>
      </c>
      <c r="O24" t="s">
        <v>28</v>
      </c>
      <c r="P24" s="14">
        <v>2000</v>
      </c>
      <c r="Q24" s="1" t="s">
        <v>257</v>
      </c>
      <c r="R24">
        <v>2</v>
      </c>
      <c r="S24">
        <f>IF(COUNTIF($K$8:K24, K24)=1, Table13[[#This Row],[Cutadapt_Metrics_Total_Reads]], 0)</f>
        <v>0</v>
      </c>
      <c r="T24" s="2">
        <f>(Table13[[#This Row],[Cutadapt_Metrics_Total_Reads]]/Table13[[#This Row],[Reads count]])*100</f>
        <v>0.21321961620469082</v>
      </c>
      <c r="U24" t="s">
        <v>346</v>
      </c>
      <c r="V24" t="str">
        <f>Table13[[#This Row],[Amplicon_consensus]] &amp; "_Run" &amp; A24 &amp; "_Barcode" &amp; C24 &amp; "_" &amp; Table13[[#This Row],[Host]] &amp; "_" &amp; Table13[[#This Row],[Primers]]</f>
        <v>&gt;consensus_cl_id_1_total_supporting_reads_1_Run1_Barcode2_Gryllus bimaculatus_KinetRC / iLSUr</v>
      </c>
      <c r="W24">
        <v>1</v>
      </c>
      <c r="X24" s="17">
        <f>(Table13[[#This Row],[Supported_by_x_reads]]/Table13[[#This Row],[Cutadapt_Metrics_Total_Reads]])*100</f>
        <v>50</v>
      </c>
      <c r="Y24" t="s">
        <v>396</v>
      </c>
      <c r="Z24">
        <f>LEN(Table13[[#This Row],[Sequence]])</f>
        <v>5148</v>
      </c>
      <c r="AA24" t="s">
        <v>398</v>
      </c>
      <c r="AB24" t="s">
        <v>397</v>
      </c>
      <c r="AC24">
        <v>100</v>
      </c>
      <c r="AD24">
        <v>90.7</v>
      </c>
      <c r="AE24" t="s">
        <v>109</v>
      </c>
      <c r="AF24" t="s">
        <v>54</v>
      </c>
      <c r="AG24" t="s">
        <v>31</v>
      </c>
      <c r="AH24" t="s">
        <v>31</v>
      </c>
      <c r="AI24">
        <f>LEN(Table13[[#This Row],[Correct_seq_if_RC]])</f>
        <v>2</v>
      </c>
      <c r="AJ24" t="str">
        <f>IF(Table13[[#This Row],[Column1]]=Table13[[#This Row],[Sequence_length]],"yes","no")</f>
        <v>no</v>
      </c>
    </row>
    <row r="25" spans="1:36" ht="14.5" x14ac:dyDescent="0.35">
      <c r="A25" s="22">
        <v>1</v>
      </c>
      <c r="B25" s="15">
        <v>44686</v>
      </c>
      <c r="C25">
        <v>2</v>
      </c>
      <c r="D25" t="str">
        <f>Table13[[#This Row],[Nanopore_Run]] &amp; "_" &amp; Table13[[#This Row],[Barcode_ID]]</f>
        <v>1_2</v>
      </c>
      <c r="E25">
        <v>938</v>
      </c>
      <c r="F25">
        <f>IF(COUNTIF($D$8:D25, D25)=1, Table13[[#This Row],[Reads count]], 0)</f>
        <v>0</v>
      </c>
      <c r="G25" s="16">
        <v>89.271681769723017</v>
      </c>
      <c r="H25" t="s">
        <v>23</v>
      </c>
      <c r="I25" t="s">
        <v>24</v>
      </c>
      <c r="J25" t="s">
        <v>35</v>
      </c>
      <c r="K25" t="str">
        <f t="shared" si="0"/>
        <v>1_2_AmRC / iLSUr</v>
      </c>
      <c r="L25">
        <v>1</v>
      </c>
      <c r="M25" t="s">
        <v>26</v>
      </c>
      <c r="N25" t="s">
        <v>36</v>
      </c>
      <c r="O25" t="s">
        <v>28</v>
      </c>
      <c r="P25" s="14">
        <v>4200</v>
      </c>
      <c r="Q25" s="1" t="s">
        <v>37</v>
      </c>
      <c r="R25">
        <v>1</v>
      </c>
      <c r="S25">
        <f>IF(COUNTIF($K$8:K25, K25)=1, Table13[[#This Row],[Cutadapt_Metrics_Total_Reads]], 0)</f>
        <v>1</v>
      </c>
      <c r="T25" s="2">
        <f>(Table13[[#This Row],[Cutadapt_Metrics_Total_Reads]]/Table13[[#This Row],[Reads count]])*100</f>
        <v>0.10660980810234541</v>
      </c>
      <c r="U25" t="s">
        <v>43</v>
      </c>
      <c r="V25" t="str">
        <f>Table13[[#This Row],[Amplicon_consensus]] &amp; "_Run" &amp; A25 &amp; "_Barcode" &amp; C25 &amp; "_" &amp; Table13[[#This Row],[Host]] &amp; "_" &amp; Table13[[#This Row],[Primers]]</f>
        <v>&gt;consensus_cl_id_0_total_supporting_reads_1_Run1_Barcode2_Gryllus bimaculatus_AmRC / iLSUr</v>
      </c>
      <c r="W25">
        <v>1</v>
      </c>
      <c r="X25" s="17">
        <f>(Table13[[#This Row],[Supported_by_x_reads]]/Table13[[#This Row],[Cutadapt_Metrics_Total_Reads]])*100</f>
        <v>100</v>
      </c>
      <c r="Y25" t="s">
        <v>108</v>
      </c>
      <c r="Z25">
        <f>LEN(Table13[[#This Row],[Sequence]])</f>
        <v>4059</v>
      </c>
      <c r="AA25" t="s">
        <v>400</v>
      </c>
      <c r="AB25" t="s">
        <v>399</v>
      </c>
      <c r="AC25">
        <v>89</v>
      </c>
      <c r="AD25">
        <v>92</v>
      </c>
      <c r="AE25" t="s">
        <v>109</v>
      </c>
      <c r="AF25" t="s">
        <v>54</v>
      </c>
      <c r="AG25" t="s">
        <v>31</v>
      </c>
      <c r="AH25" t="s">
        <v>31</v>
      </c>
    </row>
    <row r="26" spans="1:36" ht="14.5" x14ac:dyDescent="0.35">
      <c r="A26" s="22">
        <v>1</v>
      </c>
      <c r="B26" s="15">
        <v>44686</v>
      </c>
      <c r="C26">
        <v>2</v>
      </c>
      <c r="D26" t="str">
        <f>Table13[[#This Row],[Nanopore_Run]] &amp; "_" &amp; Table13[[#This Row],[Barcode_ID]]</f>
        <v>1_2</v>
      </c>
      <c r="E26">
        <v>938</v>
      </c>
      <c r="F26">
        <f>IF(COUNTIF($D$8:D26, D26)=1, Table13[[#This Row],[Reads count]], 0)</f>
        <v>0</v>
      </c>
      <c r="G26" s="16">
        <v>89.271681769723017</v>
      </c>
      <c r="H26" t="s">
        <v>23</v>
      </c>
      <c r="I26" t="s">
        <v>24</v>
      </c>
      <c r="J26" t="s">
        <v>25</v>
      </c>
      <c r="K26" t="str">
        <f t="shared" si="0"/>
        <v>1_2_GregRC / iLSUr</v>
      </c>
      <c r="L26">
        <v>4</v>
      </c>
      <c r="M26" t="s">
        <v>26</v>
      </c>
      <c r="N26" t="s">
        <v>27</v>
      </c>
      <c r="O26" t="s">
        <v>28</v>
      </c>
      <c r="P26" s="14">
        <v>3350</v>
      </c>
      <c r="Q26" s="1" t="s">
        <v>47</v>
      </c>
      <c r="R26">
        <v>7</v>
      </c>
      <c r="S26">
        <f>IF(COUNTIF($K$8:K26, K26)=1, Table13[[#This Row],[Cutadapt_Metrics_Total_Reads]], 0)</f>
        <v>7</v>
      </c>
      <c r="T26" s="2">
        <f>(Table13[[#This Row],[Cutadapt_Metrics_Total_Reads]]/Table13[[#This Row],[Reads count]])*100</f>
        <v>0.74626865671641784</v>
      </c>
      <c r="U26" t="s">
        <v>29</v>
      </c>
      <c r="V26" t="str">
        <f>Table13[[#This Row],[Amplicon_consensus]] &amp; "_Run" &amp; A26 &amp; "_Barcode" &amp; C26 &amp; "_" &amp; Table13[[#This Row],[Host]] &amp; "_" &amp; Table13[[#This Row],[Primers]]</f>
        <v>&gt;consensus_cl_id_0_total_supporting_reads_4_Run1_Barcode2_Gryllus bimaculatus_GregRC / iLSUr</v>
      </c>
      <c r="W26">
        <v>4</v>
      </c>
      <c r="X26" s="17">
        <f>(Table13[[#This Row],[Supported_by_x_reads]]/Table13[[#This Row],[Cutadapt_Metrics_Total_Reads]])*100</f>
        <v>57.142857142857139</v>
      </c>
      <c r="Y26" t="s">
        <v>110</v>
      </c>
      <c r="Z26">
        <f>LEN(Table13[[#This Row],[Sequence]])</f>
        <v>3445</v>
      </c>
      <c r="AA26" t="s">
        <v>366</v>
      </c>
      <c r="AB26" t="s">
        <v>365</v>
      </c>
      <c r="AC26">
        <v>40</v>
      </c>
      <c r="AD26">
        <v>86.1</v>
      </c>
      <c r="AE26" t="s">
        <v>47</v>
      </c>
      <c r="AF26" t="s">
        <v>32</v>
      </c>
      <c r="AG26" t="s">
        <v>32</v>
      </c>
      <c r="AH26" t="s">
        <v>111</v>
      </c>
      <c r="AI26">
        <f>LEN(Table13[[#This Row],[Correct_seq_if_RC]])</f>
        <v>3445</v>
      </c>
      <c r="AJ26" t="str">
        <f>IF(Table13[[#This Row],[Column1]]=Table13[[#This Row],[Sequence_length]],"yes","no")</f>
        <v>yes</v>
      </c>
    </row>
    <row r="27" spans="1:36" ht="14.5" x14ac:dyDescent="0.35">
      <c r="A27" s="22">
        <v>1</v>
      </c>
      <c r="B27" s="15">
        <v>44686</v>
      </c>
      <c r="C27">
        <v>2</v>
      </c>
      <c r="D27" t="str">
        <f>Table13[[#This Row],[Nanopore_Run]] &amp; "_" &amp; Table13[[#This Row],[Barcode_ID]]</f>
        <v>1_2</v>
      </c>
      <c r="E27">
        <v>938</v>
      </c>
      <c r="F27">
        <f>IF(COUNTIF($D$8:D27, D27)=1, Table13[[#This Row],[Reads count]], 0)</f>
        <v>0</v>
      </c>
      <c r="G27" s="16">
        <v>89.271681769723017</v>
      </c>
      <c r="H27" t="s">
        <v>23</v>
      </c>
      <c r="I27" t="s">
        <v>24</v>
      </c>
      <c r="J27" t="s">
        <v>25</v>
      </c>
      <c r="K27" t="str">
        <f t="shared" si="0"/>
        <v>1_2_GregRC / iLSUr</v>
      </c>
      <c r="L27">
        <v>4</v>
      </c>
      <c r="M27" t="s">
        <v>26</v>
      </c>
      <c r="N27" t="s">
        <v>27</v>
      </c>
      <c r="O27" t="s">
        <v>28</v>
      </c>
      <c r="P27" s="14">
        <v>3350</v>
      </c>
      <c r="Q27" s="1" t="s">
        <v>47</v>
      </c>
      <c r="R27">
        <v>7</v>
      </c>
      <c r="S27">
        <f>IF(COUNTIF($K$8:K27, K27)=1, Table13[[#This Row],[Cutadapt_Metrics_Total_Reads]], 0)</f>
        <v>0</v>
      </c>
      <c r="T27" s="2">
        <f>(Table13[[#This Row],[Cutadapt_Metrics_Total_Reads]]/Table13[[#This Row],[Reads count]])*100</f>
        <v>0.74626865671641784</v>
      </c>
      <c r="U27" t="s">
        <v>346</v>
      </c>
      <c r="V27" t="str">
        <f>Table13[[#This Row],[Amplicon_consensus]] &amp; "_Run" &amp; A27 &amp; "_Barcode" &amp; C27 &amp; "_" &amp; Table13[[#This Row],[Host]] &amp; "_" &amp; Table13[[#This Row],[Primers]]</f>
        <v>&gt;consensus_cl_id_1_total_supporting_reads_1_Run1_Barcode2_Gryllus bimaculatus_GregRC / iLSUr</v>
      </c>
      <c r="W27">
        <v>1</v>
      </c>
      <c r="X27" s="17">
        <f>(Table13[[#This Row],[Supported_by_x_reads]]/Table13[[#This Row],[Cutadapt_Metrics_Total_Reads]])*100</f>
        <v>14.285714285714285</v>
      </c>
      <c r="Y27" t="s">
        <v>401</v>
      </c>
      <c r="Z27">
        <f>LEN(Table13[[#This Row],[Sequence]])</f>
        <v>3177</v>
      </c>
      <c r="AA27" t="s">
        <v>201</v>
      </c>
      <c r="AB27" t="s">
        <v>345</v>
      </c>
      <c r="AC27">
        <v>20</v>
      </c>
      <c r="AD27">
        <v>88.5</v>
      </c>
      <c r="AE27" t="s">
        <v>47</v>
      </c>
      <c r="AF27" t="s">
        <v>54</v>
      </c>
      <c r="AG27" t="s">
        <v>31</v>
      </c>
      <c r="AH27" t="s">
        <v>31</v>
      </c>
    </row>
    <row r="28" spans="1:36" ht="14.5" x14ac:dyDescent="0.35">
      <c r="A28" s="22">
        <v>1</v>
      </c>
      <c r="B28" s="15">
        <v>44686</v>
      </c>
      <c r="C28">
        <v>2</v>
      </c>
      <c r="D28" t="str">
        <f>Table13[[#This Row],[Nanopore_Run]] &amp; "_" &amp; Table13[[#This Row],[Barcode_ID]]</f>
        <v>1_2</v>
      </c>
      <c r="E28">
        <v>938</v>
      </c>
      <c r="F28">
        <f>IF(COUNTIF($D$8:D28, D28)=1, Table13[[#This Row],[Reads count]], 0)</f>
        <v>0</v>
      </c>
      <c r="G28" s="16">
        <v>89.271681769723017</v>
      </c>
      <c r="H28" t="s">
        <v>23</v>
      </c>
      <c r="I28" t="s">
        <v>24</v>
      </c>
      <c r="J28" t="s">
        <v>25</v>
      </c>
      <c r="K28" t="str">
        <f t="shared" si="0"/>
        <v>1_2_GregRC / iLSUr</v>
      </c>
      <c r="L28">
        <v>4</v>
      </c>
      <c r="M28" t="s">
        <v>26</v>
      </c>
      <c r="N28" t="s">
        <v>27</v>
      </c>
      <c r="O28" t="s">
        <v>28</v>
      </c>
      <c r="P28" s="14">
        <v>3350</v>
      </c>
      <c r="Q28" s="1" t="s">
        <v>47</v>
      </c>
      <c r="R28">
        <v>7</v>
      </c>
      <c r="S28">
        <f>IF(COUNTIF($K$8:K28, K28)=1, Table13[[#This Row],[Cutadapt_Metrics_Total_Reads]], 0)</f>
        <v>0</v>
      </c>
      <c r="T28" s="2">
        <f>(Table13[[#This Row],[Cutadapt_Metrics_Total_Reads]]/Table13[[#This Row],[Reads count]])*100</f>
        <v>0.74626865671641784</v>
      </c>
      <c r="U28" t="s">
        <v>350</v>
      </c>
      <c r="V28" t="str">
        <f>Table13[[#This Row],[Amplicon_consensus]] &amp; "_Run" &amp; A28 &amp; "_Barcode" &amp; C28 &amp; "_" &amp; Table13[[#This Row],[Host]] &amp; "_" &amp; Table13[[#This Row],[Primers]]</f>
        <v>&gt;consensus_cl_id_2_total_supporting_reads_1_Run1_Barcode2_Gryllus bimaculatus_GregRC / iLSUr</v>
      </c>
      <c r="W28">
        <v>1</v>
      </c>
      <c r="X28" s="17">
        <f>(Table13[[#This Row],[Supported_by_x_reads]]/Table13[[#This Row],[Cutadapt_Metrics_Total_Reads]])*100</f>
        <v>14.285714285714285</v>
      </c>
      <c r="Y28" t="s">
        <v>402</v>
      </c>
      <c r="Z28">
        <f>LEN(Table13[[#This Row],[Sequence]])</f>
        <v>3339</v>
      </c>
      <c r="AA28" t="s">
        <v>266</v>
      </c>
      <c r="AB28" t="s">
        <v>290</v>
      </c>
      <c r="AC28">
        <v>51</v>
      </c>
      <c r="AD28">
        <v>92.3</v>
      </c>
      <c r="AE28" t="s">
        <v>47</v>
      </c>
      <c r="AF28" t="s">
        <v>54</v>
      </c>
      <c r="AG28" t="s">
        <v>31</v>
      </c>
      <c r="AH28" t="s">
        <v>31</v>
      </c>
    </row>
    <row r="29" spans="1:36" ht="14.5" x14ac:dyDescent="0.35">
      <c r="A29" s="22">
        <v>1</v>
      </c>
      <c r="B29" s="15">
        <v>44686</v>
      </c>
      <c r="C29">
        <v>2</v>
      </c>
      <c r="D29" t="str">
        <f>Table13[[#This Row],[Nanopore_Run]] &amp; "_" &amp; Table13[[#This Row],[Barcode_ID]]</f>
        <v>1_2</v>
      </c>
      <c r="E29">
        <v>938</v>
      </c>
      <c r="F29">
        <f>IF(COUNTIF($D$8:D29, D29)=1, Table13[[#This Row],[Reads count]], 0)</f>
        <v>0</v>
      </c>
      <c r="G29" s="16">
        <v>89.271681769723017</v>
      </c>
      <c r="H29" t="s">
        <v>23</v>
      </c>
      <c r="I29" t="s">
        <v>24</v>
      </c>
      <c r="J29" t="s">
        <v>25</v>
      </c>
      <c r="K29" t="str">
        <f t="shared" si="0"/>
        <v>1_2_GregRC / iLSUr</v>
      </c>
      <c r="L29">
        <v>4</v>
      </c>
      <c r="M29" t="s">
        <v>26</v>
      </c>
      <c r="N29" t="s">
        <v>27</v>
      </c>
      <c r="O29" t="s">
        <v>28</v>
      </c>
      <c r="P29" s="14">
        <v>3350</v>
      </c>
      <c r="Q29" s="1" t="s">
        <v>47</v>
      </c>
      <c r="R29">
        <v>7</v>
      </c>
      <c r="S29">
        <f>IF(COUNTIF($K$8:K29, K29)=1, Table13[[#This Row],[Cutadapt_Metrics_Total_Reads]], 0)</f>
        <v>0</v>
      </c>
      <c r="T29" s="2">
        <f>(Table13[[#This Row],[Cutadapt_Metrics_Total_Reads]]/Table13[[#This Row],[Reads count]])*100</f>
        <v>0.74626865671641784</v>
      </c>
      <c r="U29" t="s">
        <v>196</v>
      </c>
      <c r="V29" t="str">
        <f>Table13[[#This Row],[Amplicon_consensus]] &amp; "_Run" &amp; A29 &amp; "_Barcode" &amp; C29 &amp; "_" &amp; Table13[[#This Row],[Host]] &amp; "_" &amp; Table13[[#This Row],[Primers]]</f>
        <v>&gt;consensus_cl_id_4_total_supporting_reads_1_Run1_Barcode2_Gryllus bimaculatus_GregRC / iLSUr</v>
      </c>
      <c r="W29">
        <v>1</v>
      </c>
      <c r="X29" s="17">
        <f>(Table13[[#This Row],[Supported_by_x_reads]]/Table13[[#This Row],[Cutadapt_Metrics_Total_Reads]])*100</f>
        <v>14.285714285714285</v>
      </c>
      <c r="Y29" t="s">
        <v>403</v>
      </c>
      <c r="Z29">
        <f>LEN(Table13[[#This Row],[Sequence]])</f>
        <v>3564</v>
      </c>
      <c r="AA29" t="s">
        <v>366</v>
      </c>
      <c r="AB29" t="s">
        <v>365</v>
      </c>
      <c r="AC29">
        <v>63</v>
      </c>
      <c r="AD29">
        <v>88.9</v>
      </c>
      <c r="AE29" t="s">
        <v>47</v>
      </c>
      <c r="AF29" t="s">
        <v>54</v>
      </c>
      <c r="AG29" t="s">
        <v>31</v>
      </c>
      <c r="AH29" t="s">
        <v>31</v>
      </c>
    </row>
    <row r="30" spans="1:36" ht="14.5" x14ac:dyDescent="0.35">
      <c r="A30" s="22">
        <v>1</v>
      </c>
      <c r="B30" s="15">
        <v>44686</v>
      </c>
      <c r="C30">
        <v>2</v>
      </c>
      <c r="D30" t="str">
        <f>Table13[[#This Row],[Nanopore_Run]] &amp; "_" &amp; Table13[[#This Row],[Barcode_ID]]</f>
        <v>1_2</v>
      </c>
      <c r="E30">
        <v>938</v>
      </c>
      <c r="F30">
        <f>IF(COUNTIF($D$8:D30, D30)=1, Table13[[#This Row],[Reads count]], 0)</f>
        <v>0</v>
      </c>
      <c r="G30" s="16">
        <v>89.271681769723017</v>
      </c>
      <c r="H30" t="s">
        <v>23</v>
      </c>
      <c r="I30" t="s">
        <v>24</v>
      </c>
      <c r="J30" t="s">
        <v>101</v>
      </c>
      <c r="K30" t="str">
        <f t="shared" si="0"/>
        <v>1_2_V1F / CM-V5R</v>
      </c>
      <c r="L30">
        <v>4</v>
      </c>
      <c r="M30" t="s">
        <v>259</v>
      </c>
      <c r="N30" t="s">
        <v>102</v>
      </c>
      <c r="O30" t="s">
        <v>103</v>
      </c>
      <c r="P30" s="14">
        <v>700</v>
      </c>
      <c r="Q30" s="1" t="s">
        <v>42</v>
      </c>
      <c r="R30">
        <v>4</v>
      </c>
      <c r="S30">
        <f>IF(COUNTIF($K$8:K30, K30)=1, Table13[[#This Row],[Cutadapt_Metrics_Total_Reads]], 0)</f>
        <v>4</v>
      </c>
      <c r="T30" s="2">
        <f>(Table13[[#This Row],[Cutadapt_Metrics_Total_Reads]]/Table13[[#This Row],[Reads count]])*100</f>
        <v>0.42643923240938164</v>
      </c>
      <c r="U30" t="s">
        <v>43</v>
      </c>
      <c r="V30" t="str">
        <f>Table13[[#This Row],[Amplicon_consensus]] &amp; "_Run" &amp; A30 &amp; "_Barcode" &amp; C30 &amp; "_" &amp; Table13[[#This Row],[Host]] &amp; "_" &amp; Table13[[#This Row],[Primers]]</f>
        <v>&gt;consensus_cl_id_0_total_supporting_reads_1_Run1_Barcode2_Gryllus bimaculatus_V1F / CM-V5R</v>
      </c>
      <c r="W30">
        <v>1</v>
      </c>
      <c r="X30" s="17">
        <f>(Table13[[#This Row],[Supported_by_x_reads]]/Table13[[#This Row],[Cutadapt_Metrics_Total_Reads]])*100</f>
        <v>25</v>
      </c>
      <c r="Y30" t="s">
        <v>104</v>
      </c>
      <c r="Z30">
        <f>LEN(Table13[[#This Row],[Sequence]])</f>
        <v>612</v>
      </c>
      <c r="AA30" t="s">
        <v>105</v>
      </c>
      <c r="AB30" t="s">
        <v>404</v>
      </c>
      <c r="AC30">
        <v>93</v>
      </c>
      <c r="AD30">
        <v>96.9</v>
      </c>
      <c r="AE30" t="s">
        <v>67</v>
      </c>
      <c r="AF30" t="s">
        <v>54</v>
      </c>
      <c r="AG30" t="s">
        <v>31</v>
      </c>
      <c r="AH30" t="s">
        <v>31</v>
      </c>
    </row>
    <row r="31" spans="1:36" ht="14.5" x14ac:dyDescent="0.35">
      <c r="A31" s="22">
        <v>1</v>
      </c>
      <c r="B31" s="15">
        <v>44686</v>
      </c>
      <c r="C31">
        <v>2</v>
      </c>
      <c r="D31" t="str">
        <f>Table13[[#This Row],[Nanopore_Run]] &amp; "_" &amp; Table13[[#This Row],[Barcode_ID]]</f>
        <v>1_2</v>
      </c>
      <c r="E31">
        <v>938</v>
      </c>
      <c r="F31">
        <f>IF(COUNTIF($D$8:D31, D31)=1, Table13[[#This Row],[Reads count]], 0)</f>
        <v>0</v>
      </c>
      <c r="G31" s="16">
        <v>89.271681769723017</v>
      </c>
      <c r="H31" t="s">
        <v>23</v>
      </c>
      <c r="I31" t="s">
        <v>24</v>
      </c>
      <c r="J31" t="s">
        <v>101</v>
      </c>
      <c r="K31" t="str">
        <f t="shared" si="0"/>
        <v>1_2_V1F / CM-V5R</v>
      </c>
      <c r="L31">
        <v>4</v>
      </c>
      <c r="M31" t="s">
        <v>259</v>
      </c>
      <c r="N31" t="s">
        <v>102</v>
      </c>
      <c r="O31" t="s">
        <v>103</v>
      </c>
      <c r="P31" s="14">
        <v>700</v>
      </c>
      <c r="Q31" s="1" t="s">
        <v>42</v>
      </c>
      <c r="R31">
        <v>4</v>
      </c>
      <c r="S31">
        <f>IF(COUNTIF($K$8:K31, K31)=1, Table13[[#This Row],[Cutadapt_Metrics_Total_Reads]], 0)</f>
        <v>0</v>
      </c>
      <c r="T31" s="2">
        <f>(Table13[[#This Row],[Cutadapt_Metrics_Total_Reads]]/Table13[[#This Row],[Reads count]])*100</f>
        <v>0.42643923240938164</v>
      </c>
      <c r="U31" t="s">
        <v>346</v>
      </c>
      <c r="V31" t="str">
        <f>Table13[[#This Row],[Amplicon_consensus]] &amp; "_Run" &amp; A31 &amp; "_Barcode" &amp; C31 &amp; "_" &amp; Table13[[#This Row],[Host]] &amp; "_" &amp; Table13[[#This Row],[Primers]]</f>
        <v>&gt;consensus_cl_id_1_total_supporting_reads_1_Run1_Barcode2_Gryllus bimaculatus_V1F / CM-V5R</v>
      </c>
      <c r="W31">
        <v>1</v>
      </c>
      <c r="X31" s="17">
        <f>(Table13[[#This Row],[Supported_by_x_reads]]/Table13[[#This Row],[Cutadapt_Metrics_Total_Reads]])*100</f>
        <v>25</v>
      </c>
      <c r="Y31" t="s">
        <v>405</v>
      </c>
      <c r="Z31">
        <f>LEN(Table13[[#This Row],[Sequence]])</f>
        <v>610</v>
      </c>
      <c r="AA31" t="s">
        <v>408</v>
      </c>
      <c r="AB31" t="s">
        <v>409</v>
      </c>
      <c r="AC31">
        <v>8</v>
      </c>
      <c r="AD31">
        <v>88.9</v>
      </c>
      <c r="AE31" t="s">
        <v>109</v>
      </c>
      <c r="AF31" t="s">
        <v>54</v>
      </c>
      <c r="AG31" t="s">
        <v>31</v>
      </c>
      <c r="AH31" t="s">
        <v>31</v>
      </c>
    </row>
    <row r="32" spans="1:36" ht="14.5" x14ac:dyDescent="0.35">
      <c r="A32" s="22">
        <v>1</v>
      </c>
      <c r="B32" s="15">
        <v>44686</v>
      </c>
      <c r="C32">
        <v>2</v>
      </c>
      <c r="D32" t="str">
        <f>Table13[[#This Row],[Nanopore_Run]] &amp; "_" &amp; Table13[[#This Row],[Barcode_ID]]</f>
        <v>1_2</v>
      </c>
      <c r="E32">
        <v>938</v>
      </c>
      <c r="F32">
        <f>IF(COUNTIF($D$8:D32, D32)=1, Table13[[#This Row],[Reads count]], 0)</f>
        <v>0</v>
      </c>
      <c r="G32" s="16">
        <v>89.271681769723017</v>
      </c>
      <c r="H32" t="s">
        <v>23</v>
      </c>
      <c r="I32" t="s">
        <v>24</v>
      </c>
      <c r="J32" t="s">
        <v>101</v>
      </c>
      <c r="K32" t="str">
        <f t="shared" si="0"/>
        <v>1_2_V1F / CM-V5R</v>
      </c>
      <c r="L32">
        <v>4</v>
      </c>
      <c r="M32" t="s">
        <v>259</v>
      </c>
      <c r="N32" t="s">
        <v>102</v>
      </c>
      <c r="O32" t="s">
        <v>103</v>
      </c>
      <c r="P32" s="14">
        <v>700</v>
      </c>
      <c r="Q32" s="1" t="s">
        <v>42</v>
      </c>
      <c r="R32">
        <v>4</v>
      </c>
      <c r="S32">
        <f>IF(COUNTIF($K$8:K32, K32)=1, Table13[[#This Row],[Cutadapt_Metrics_Total_Reads]], 0)</f>
        <v>0</v>
      </c>
      <c r="T32" s="2">
        <f>(Table13[[#This Row],[Cutadapt_Metrics_Total_Reads]]/Table13[[#This Row],[Reads count]])*100</f>
        <v>0.42643923240938164</v>
      </c>
      <c r="U32" t="s">
        <v>350</v>
      </c>
      <c r="V32" t="str">
        <f>Table13[[#This Row],[Amplicon_consensus]] &amp; "_Run" &amp; A32 &amp; "_Barcode" &amp; C32 &amp; "_" &amp; Table13[[#This Row],[Host]] &amp; "_" &amp; Table13[[#This Row],[Primers]]</f>
        <v>&gt;consensus_cl_id_2_total_supporting_reads_1_Run1_Barcode2_Gryllus bimaculatus_V1F / CM-V5R</v>
      </c>
      <c r="W32">
        <v>1</v>
      </c>
      <c r="X32" s="17">
        <f>(Table13[[#This Row],[Supported_by_x_reads]]/Table13[[#This Row],[Cutadapt_Metrics_Total_Reads]])*100</f>
        <v>25</v>
      </c>
      <c r="Y32" t="s">
        <v>406</v>
      </c>
      <c r="Z32">
        <f>LEN(Table13[[#This Row],[Sequence]])</f>
        <v>872</v>
      </c>
      <c r="AA32" t="s">
        <v>410</v>
      </c>
      <c r="AB32" t="s">
        <v>411</v>
      </c>
      <c r="AC32">
        <v>96</v>
      </c>
      <c r="AD32">
        <v>86.7</v>
      </c>
      <c r="AE32" t="s">
        <v>109</v>
      </c>
      <c r="AF32" t="s">
        <v>54</v>
      </c>
      <c r="AG32" t="s">
        <v>31</v>
      </c>
      <c r="AH32" t="s">
        <v>31</v>
      </c>
    </row>
    <row r="33" spans="1:36" ht="14.5" x14ac:dyDescent="0.35">
      <c r="A33" s="22">
        <v>1</v>
      </c>
      <c r="B33" s="15">
        <v>44686</v>
      </c>
      <c r="C33">
        <v>2</v>
      </c>
      <c r="D33" t="str">
        <f>Table13[[#This Row],[Nanopore_Run]] &amp; "_" &amp; Table13[[#This Row],[Barcode_ID]]</f>
        <v>1_2</v>
      </c>
      <c r="E33">
        <v>938</v>
      </c>
      <c r="F33">
        <f>IF(COUNTIF($D$8:D33, D33)=1, Table13[[#This Row],[Reads count]], 0)</f>
        <v>0</v>
      </c>
      <c r="G33" s="16">
        <v>89.271681769723017</v>
      </c>
      <c r="H33" t="s">
        <v>23</v>
      </c>
      <c r="I33" t="s">
        <v>24</v>
      </c>
      <c r="J33" t="s">
        <v>101</v>
      </c>
      <c r="K33" t="str">
        <f t="shared" si="0"/>
        <v>1_2_V1F / CM-V5R</v>
      </c>
      <c r="L33">
        <v>4</v>
      </c>
      <c r="M33" t="s">
        <v>259</v>
      </c>
      <c r="N33" t="s">
        <v>102</v>
      </c>
      <c r="O33" t="s">
        <v>103</v>
      </c>
      <c r="P33" s="14">
        <v>700</v>
      </c>
      <c r="Q33" s="1" t="s">
        <v>42</v>
      </c>
      <c r="R33">
        <v>4</v>
      </c>
      <c r="S33">
        <f>IF(COUNTIF($K$8:K33, K33)=1, Table13[[#This Row],[Cutadapt_Metrics_Total_Reads]], 0)</f>
        <v>0</v>
      </c>
      <c r="T33" s="2">
        <f>(Table13[[#This Row],[Cutadapt_Metrics_Total_Reads]]/Table13[[#This Row],[Reads count]])*100</f>
        <v>0.42643923240938164</v>
      </c>
      <c r="U33" t="s">
        <v>354</v>
      </c>
      <c r="V33" t="str">
        <f>Table13[[#This Row],[Amplicon_consensus]] &amp; "_Run" &amp; A33 &amp; "_Barcode" &amp; C33 &amp; "_" &amp; Table13[[#This Row],[Host]] &amp; "_" &amp; Table13[[#This Row],[Primers]]</f>
        <v>&gt;consensus_cl_id_3_total_supporting_reads_1_Run1_Barcode2_Gryllus bimaculatus_V1F / CM-V5R</v>
      </c>
      <c r="W33">
        <v>1</v>
      </c>
      <c r="X33" s="17">
        <f>(Table13[[#This Row],[Supported_by_x_reads]]/Table13[[#This Row],[Cutadapt_Metrics_Total_Reads]])*100</f>
        <v>25</v>
      </c>
      <c r="Y33" t="s">
        <v>407</v>
      </c>
      <c r="Z33">
        <f>LEN(Table13[[#This Row],[Sequence]])</f>
        <v>625</v>
      </c>
      <c r="AA33" t="s">
        <v>412</v>
      </c>
      <c r="AB33" t="s">
        <v>413</v>
      </c>
      <c r="AC33">
        <v>90</v>
      </c>
      <c r="AD33">
        <v>89.1</v>
      </c>
      <c r="AE33" t="s">
        <v>67</v>
      </c>
      <c r="AF33" t="s">
        <v>54</v>
      </c>
      <c r="AG33" t="s">
        <v>31</v>
      </c>
      <c r="AH33" t="s">
        <v>31</v>
      </c>
    </row>
    <row r="34" spans="1:36" ht="14.5" x14ac:dyDescent="0.35">
      <c r="A34" s="22">
        <v>1</v>
      </c>
      <c r="B34" s="15">
        <v>44686</v>
      </c>
      <c r="C34">
        <v>2</v>
      </c>
      <c r="D34" t="str">
        <f>Table13[[#This Row],[Nanopore_Run]] &amp; "_" &amp; Table13[[#This Row],[Barcode_ID]]</f>
        <v>1_2</v>
      </c>
      <c r="E34">
        <v>938</v>
      </c>
      <c r="F34">
        <f>IF(COUNTIF($D$8:D34, D34)=1, Table13[[#This Row],[Reads count]], 0)</f>
        <v>0</v>
      </c>
      <c r="G34" s="16">
        <v>89.271681769723017</v>
      </c>
      <c r="H34" t="s">
        <v>23</v>
      </c>
      <c r="I34" t="s">
        <v>24</v>
      </c>
      <c r="J34" t="s">
        <v>440</v>
      </c>
      <c r="K34" t="str">
        <f t="shared" si="0"/>
        <v>1_2_KinetF / KinetR</v>
      </c>
      <c r="L34">
        <v>2</v>
      </c>
      <c r="M34" t="s">
        <v>259</v>
      </c>
      <c r="N34" t="s">
        <v>71</v>
      </c>
      <c r="O34" t="s">
        <v>72</v>
      </c>
      <c r="P34" s="14">
        <v>5000</v>
      </c>
      <c r="Q34" s="1" t="s">
        <v>257</v>
      </c>
      <c r="R34">
        <v>9</v>
      </c>
      <c r="S34">
        <f>IF(COUNTIF($K$8:K34, K34)=1, Table13[[#This Row],[Cutadapt_Metrics_Total_Reads]], 0)</f>
        <v>9</v>
      </c>
      <c r="T34" s="2">
        <f>(Table13[[#This Row],[Cutadapt_Metrics_Total_Reads]]/Table13[[#This Row],[Reads count]])*100</f>
        <v>0.95948827292110883</v>
      </c>
      <c r="U34" t="s">
        <v>52</v>
      </c>
      <c r="V34" t="str">
        <f>Table13[[#This Row],[Amplicon_consensus]] &amp; "_Run" &amp; A34 &amp; "_Barcode" &amp; C34 &amp; "_" &amp; Table13[[#This Row],[Host]] &amp; "_" &amp; Table13[[#This Row],[Primers]]</f>
        <v>&gt;consensus_cl_id_0_total_supporting_reads_6_Run1_Barcode2_Gryllus bimaculatus_KinetF / KinetR</v>
      </c>
      <c r="W34">
        <v>6</v>
      </c>
      <c r="X34" s="17">
        <f>(Table13[[#This Row],[Supported_by_x_reads]]/Table13[[#This Row],[Cutadapt_Metrics_Total_Reads]])*100</f>
        <v>66.666666666666657</v>
      </c>
      <c r="Y34" t="s">
        <v>112</v>
      </c>
      <c r="Z34">
        <f>LEN(Table13[[#This Row],[Sequence]])</f>
        <v>1816</v>
      </c>
      <c r="AA34" t="s">
        <v>66</v>
      </c>
      <c r="AB34" t="s">
        <v>383</v>
      </c>
      <c r="AC34">
        <v>96</v>
      </c>
      <c r="AD34">
        <v>99.4</v>
      </c>
      <c r="AE34" t="s">
        <v>67</v>
      </c>
      <c r="AF34" t="s">
        <v>54</v>
      </c>
      <c r="AG34" t="s">
        <v>31</v>
      </c>
      <c r="AH34" t="s">
        <v>31</v>
      </c>
    </row>
    <row r="35" spans="1:36" ht="14.5" x14ac:dyDescent="0.35">
      <c r="A35" s="22">
        <v>1</v>
      </c>
      <c r="B35" s="15">
        <v>44686</v>
      </c>
      <c r="C35">
        <v>2</v>
      </c>
      <c r="D35" t="str">
        <f>Table13[[#This Row],[Nanopore_Run]] &amp; "_" &amp; Table13[[#This Row],[Barcode_ID]]</f>
        <v>1_2</v>
      </c>
      <c r="E35">
        <v>938</v>
      </c>
      <c r="F35">
        <f>IF(COUNTIF($D$8:D35, D35)=1, Table13[[#This Row],[Reads count]], 0)</f>
        <v>0</v>
      </c>
      <c r="G35" s="16">
        <v>89.271681769723017</v>
      </c>
      <c r="H35" t="s">
        <v>23</v>
      </c>
      <c r="I35" t="s">
        <v>24</v>
      </c>
      <c r="J35" t="s">
        <v>440</v>
      </c>
      <c r="K35" t="str">
        <f t="shared" si="0"/>
        <v>1_2_KinetF / KinetR</v>
      </c>
      <c r="L35">
        <v>2</v>
      </c>
      <c r="M35" t="s">
        <v>259</v>
      </c>
      <c r="N35" t="s">
        <v>71</v>
      </c>
      <c r="O35" t="s">
        <v>72</v>
      </c>
      <c r="P35" s="14">
        <v>5000</v>
      </c>
      <c r="Q35" s="1" t="s">
        <v>257</v>
      </c>
      <c r="R35">
        <v>9</v>
      </c>
      <c r="S35">
        <f>IF(COUNTIF($K$8:K35, K35)=1, Table13[[#This Row],[Cutadapt_Metrics_Total_Reads]], 0)</f>
        <v>0</v>
      </c>
      <c r="T35" s="2">
        <f>(Table13[[#This Row],[Cutadapt_Metrics_Total_Reads]]/Table13[[#This Row],[Reads count]])*100</f>
        <v>0.95948827292110883</v>
      </c>
      <c r="U35" t="s">
        <v>146</v>
      </c>
      <c r="V35" t="str">
        <f>Table13[[#This Row],[Amplicon_consensus]] &amp; "_Run" &amp; A35 &amp; "_Barcode" &amp; C35 &amp; "_" &amp; Table13[[#This Row],[Host]] &amp; "_" &amp; Table13[[#This Row],[Primers]]</f>
        <v>&gt;consensus_cl_id_1_total_supporting_reads_3_Run1_Barcode2_Gryllus bimaculatus_KinetF / KinetR</v>
      </c>
      <c r="W35">
        <v>3</v>
      </c>
      <c r="X35" s="17">
        <f>(Table13[[#This Row],[Supported_by_x_reads]]/Table13[[#This Row],[Cutadapt_Metrics_Total_Reads]])*100</f>
        <v>33.333333333333329</v>
      </c>
      <c r="Y35" t="s">
        <v>414</v>
      </c>
      <c r="Z35">
        <f>LEN(Table13[[#This Row],[Sequence]])</f>
        <v>2132</v>
      </c>
      <c r="AA35" t="s">
        <v>266</v>
      </c>
      <c r="AB35" t="s">
        <v>290</v>
      </c>
      <c r="AC35">
        <v>81</v>
      </c>
      <c r="AD35">
        <v>94.9</v>
      </c>
      <c r="AE35" t="s">
        <v>47</v>
      </c>
      <c r="AF35" t="s">
        <v>32</v>
      </c>
      <c r="AG35" t="s">
        <v>32</v>
      </c>
      <c r="AH35" t="str" cm="1">
        <f t="array" ref="AH35">ReverseComplement(Table13[[#This Row],[Sequence]])</f>
        <v>GTCTACTGCGTATTGGAACTTGTAATTCCTTTACTTTGATGATAAATTTTGGCTCGACCGCCGTGGTTCCTGATACATTTAATTAAATCAAGATTGACAATGTTTTCTTCGATTCATGTTTCAACAAATTATTCTAGAATTTATTCAATATCGTATTTCTTTACCTTCTCATGTAATTTACATAGTATTCTATGATGACCTTTAGTTACATTGAAAATATTTTTAATGAAACCTCAATAAAAATAATTCGATTTGCATGTCAGTCTGATCTTATACAGTTGTATATTACATGAGACATTAGCTTATATCCAAGTAATATATATCCAGAACTACCCTGGTATCTAATCCTGCCAGTAGTCATATGCTTGTTTCAAAGATTAAGCCATGCAAGTCTAAGTATAAGCCTTATACGGCAAAACTGCGAATAGCTCATTACAACAGTTATAATCTACACGAAGATCATTACCAAATGGATATCCATGGTAATTCTGGAGCTAATACATGCAAAAACACCCGACTTCGGAAGGTGGCATTCATTAGCATTGGAACCATCCAGGTTTTCGCACCTGTTCTGGTGATCATAATGACTGAGCGGATCGCATCTTGCGACAGTTCGTTCGAGTTTCTGACCTATCAGCTCCCGTCGGTAGGGTATTGGCCTACTGGGGCTGTGATGGGTAACGGGGAATTAGGGTTCGATTCCGGAGAGGGAGCCTGAGAAACGGCTACCACATCTAAGGAGGGCAGCAGGCGCGCAAATTACCCAATCCCGATACGGGGAGGTAGTGACAATAGCAACTCAGGACCTTTGGTTCTCGTGGATTGGAAGGAGAACAAAACTATTTACGAGTACCTATTGGAGGGCAAGTCTGGTGCCAGCAGCCGCGGTAATTCCAGCTCCAATAGCGTATATTAAAATTGCTGCAGTTAAAAAAGCTCGTAGTTGAATTTCGTCCAAATCGGAGAGACGCCTGCCTGACTTCGTGTTAGTCAGTGACTTTCTGTTTCGGACTCGGGCCTGGGATAGCTCGGCTGTACCGCCTGTTACTTTGAGCAAATTGGAGGCTCCAACCAGGCTATAGCTTAAACATGCATGGAATAACAATATAGGACTGTGATCCTCCTTGTTGGTGACGGAACACAAGTAATGGTTGATAAGGACATACGGGGGCATCTGTATTCGCTGGAGAGAGGTGAAATTCTAAGACTTGCAAAGACAAACAAGTGCGAAAGCATTTGCCCAGTGTGTGCCTGTTAATCAAGGACGAAAAGTTGGGGGATCGAAGACGCTAGATACCGTCGTAGTCCCAACTATAAACTATGCCGACTGAGGATCGGAGGCTGTCAAAGACGACTCCTTCGGCACTCCAAGAGAAATCTAAGTCTCTGGGCCCTGGGGGAGTATGGTCGCAAGGCTGAAACTTAAAGGAATTGACGGAAGGGCACCACCAGGGAGTGGAGCCTGCGGCTTAATTTGACTCAACGCGGGGAACCTCACTAGGCCCGGACATAGTCATGATTGACAGATTGAGAGTTCTTTCTCGATTCTATGGGTGGTGGTGCATGGCCGTTCTTAGTCGGTGAGGTGACTTGTCTGGTTAATTCCGATAACGGACGAGACCTCGACCTACTAACTAGCCTTCGTTTACTTCTGTAAGCGATTGGCTTCTTAGAGGGACTTTGTGAGACTATCACAAGGAAGTTCGAGCCTATAACAGGTCTGTGATGCCCTTAGATGGCCTGGGCTGCACGGGCGCAACAATGACGGAGTCAGCGAGCTTTACCCCGTACGGAGCGGAAATCTTGTGAAACTCCGTCGTGATAGGGATTGACCTTGCAATTATGGGTCATGAACGAGGAATTCTAGTAAGGACAAGTCATCACCTTGTGCTGATTACGTCCCTGCCCTTTGTACACACCGCCCGTCGCTTCAACCGATTGGATGATCCGGCAAATTACATGGACTTACGTAGCTGCTTTGTTCTACATCGCTCTTCGTGAGGAAATGTTGTGAGCCTTATCATCTAGAGGATGAAGAAGCCGTAACACGGTAGGTGAACCTGCAGAAGGATCAGGTGCTGTCGATTCCGTTTGTAGTCGTCTGTTTAACCTTAGCAACTATGAAGCATACC</v>
      </c>
    </row>
    <row r="36" spans="1:36" ht="14.5" x14ac:dyDescent="0.35">
      <c r="A36" s="22">
        <v>1</v>
      </c>
      <c r="B36" s="15">
        <v>44686</v>
      </c>
      <c r="C36">
        <v>2</v>
      </c>
      <c r="D36" t="str">
        <f>Table13[[#This Row],[Nanopore_Run]] &amp; "_" &amp; Table13[[#This Row],[Barcode_ID]]</f>
        <v>1_2</v>
      </c>
      <c r="E36">
        <v>938</v>
      </c>
      <c r="F36">
        <f>IF(COUNTIF($D$8:D36, D36)=1, Table13[[#This Row],[Reads count]], 0)</f>
        <v>0</v>
      </c>
      <c r="G36" s="16">
        <v>89.271681769723017</v>
      </c>
      <c r="H36" t="s">
        <v>23</v>
      </c>
      <c r="I36" t="s">
        <v>24</v>
      </c>
      <c r="J36" t="s">
        <v>93</v>
      </c>
      <c r="K36" t="str">
        <f t="shared" si="0"/>
        <v>1_2_GregF / GregR</v>
      </c>
      <c r="L36">
        <v>2</v>
      </c>
      <c r="M36" t="s">
        <v>259</v>
      </c>
      <c r="N36" s="19" t="s">
        <v>94</v>
      </c>
      <c r="O36" t="s">
        <v>95</v>
      </c>
      <c r="P36" s="14">
        <v>300</v>
      </c>
      <c r="Q36" s="1" t="s">
        <v>47</v>
      </c>
      <c r="R36">
        <v>38</v>
      </c>
      <c r="S36">
        <f>IF(COUNTIF($K$8:K36, K36)=1, Table13[[#This Row],[Cutadapt_Metrics_Total_Reads]], 0)</f>
        <v>38</v>
      </c>
      <c r="T36" s="2">
        <f>(Table13[[#This Row],[Cutadapt_Metrics_Total_Reads]]/Table13[[#This Row],[Reads count]])*100</f>
        <v>4.0511727078891262</v>
      </c>
      <c r="U36" t="s">
        <v>416</v>
      </c>
      <c r="V36" t="str">
        <f>Table13[[#This Row],[Amplicon_consensus]] &amp; "_Run" &amp; A36 &amp; "_Barcode" &amp; C36 &amp; "_" &amp; Table13[[#This Row],[Host]] &amp; "_" &amp; Table13[[#This Row],[Primers]]</f>
        <v xml:space="preserve">&gt;consensus_cl_id_13_total_supporting_reads_3_Run1_Barcode2_Gryllus bimaculatus_GregF / GregR </v>
      </c>
      <c r="W36">
        <v>3</v>
      </c>
      <c r="X36" s="17">
        <f>(Table13[[#This Row],[Supported_by_x_reads]]/Table13[[#This Row],[Cutadapt_Metrics_Total_Reads]])*100</f>
        <v>7.8947368421052628</v>
      </c>
      <c r="Y36" t="s">
        <v>415</v>
      </c>
      <c r="Z36">
        <f>LEN(Table13[[#This Row],[Sequence]])</f>
        <v>297</v>
      </c>
      <c r="AA36" t="s">
        <v>244</v>
      </c>
      <c r="AB36" t="s">
        <v>382</v>
      </c>
      <c r="AC36">
        <v>77</v>
      </c>
      <c r="AD36">
        <v>98.3</v>
      </c>
      <c r="AE36" t="s">
        <v>47</v>
      </c>
      <c r="AF36" t="s">
        <v>54</v>
      </c>
      <c r="AG36" t="s">
        <v>31</v>
      </c>
      <c r="AH36" t="s">
        <v>31</v>
      </c>
      <c r="AI36">
        <f>LEN(Table13[[#This Row],[Correct_seq_if_RC]])</f>
        <v>2</v>
      </c>
      <c r="AJ36" t="str">
        <f>IF(Table13[[#This Row],[Column1]]=Table13[[#This Row],[Sequence_length]],"yes","no")</f>
        <v>no</v>
      </c>
    </row>
    <row r="37" spans="1:36" ht="14.5" x14ac:dyDescent="0.35">
      <c r="A37" s="22">
        <v>1</v>
      </c>
      <c r="B37" s="15">
        <v>44686</v>
      </c>
      <c r="C37">
        <v>2</v>
      </c>
      <c r="D37" t="str">
        <f>Table13[[#This Row],[Nanopore_Run]] &amp; "_" &amp; Table13[[#This Row],[Barcode_ID]]</f>
        <v>1_2</v>
      </c>
      <c r="E37">
        <v>938</v>
      </c>
      <c r="F37">
        <f>IF(COUNTIF($D$8:D37, D37)=1, Table13[[#This Row],[Reads count]], 0)</f>
        <v>0</v>
      </c>
      <c r="G37" s="16">
        <v>89.271681769723017</v>
      </c>
      <c r="H37" t="s">
        <v>23</v>
      </c>
      <c r="I37" t="s">
        <v>24</v>
      </c>
      <c r="J37" t="s">
        <v>93</v>
      </c>
      <c r="K37" t="str">
        <f t="shared" si="0"/>
        <v>1_2_GregF / GregR</v>
      </c>
      <c r="L37">
        <v>2</v>
      </c>
      <c r="M37" t="s">
        <v>259</v>
      </c>
      <c r="N37" s="19" t="s">
        <v>94</v>
      </c>
      <c r="O37" t="s">
        <v>95</v>
      </c>
      <c r="P37" s="14">
        <v>300</v>
      </c>
      <c r="Q37" s="1" t="s">
        <v>47</v>
      </c>
      <c r="R37">
        <v>38</v>
      </c>
      <c r="S37">
        <f>IF(COUNTIF($K$8:K37, K37)=1, Table13[[#This Row],[Cutadapt_Metrics_Total_Reads]], 0)</f>
        <v>0</v>
      </c>
      <c r="T37" s="2">
        <f>(Table13[[#This Row],[Cutadapt_Metrics_Total_Reads]]/Table13[[#This Row],[Reads count]])*100</f>
        <v>4.0511727078891262</v>
      </c>
      <c r="U37" t="s">
        <v>113</v>
      </c>
      <c r="V37" t="str">
        <f>Table13[[#This Row],[Amplicon_consensus]] &amp; "_Run" &amp; A37 &amp; "_Barcode" &amp; C37 &amp; "_" &amp; Table13[[#This Row],[Host]] &amp; "_" &amp; Table13[[#This Row],[Primers]]</f>
        <v xml:space="preserve">&gt;consensus_cl_id_5_total_supporting_reads_19_Run1_Barcode2_Gryllus bimaculatus_GregF / GregR </v>
      </c>
      <c r="W37">
        <v>19</v>
      </c>
      <c r="X37" s="17">
        <f>(Table13[[#This Row],[Supported_by_x_reads]]/Table13[[#This Row],[Cutadapt_Metrics_Total_Reads]])*100</f>
        <v>50</v>
      </c>
      <c r="Y37" t="s">
        <v>114</v>
      </c>
      <c r="Z37">
        <f>LEN(Table13[[#This Row],[Sequence]])</f>
        <v>318</v>
      </c>
      <c r="AA37" t="s">
        <v>266</v>
      </c>
      <c r="AB37" t="s">
        <v>290</v>
      </c>
      <c r="AC37">
        <v>98</v>
      </c>
      <c r="AD37">
        <v>97.4</v>
      </c>
      <c r="AE37" t="s">
        <v>47</v>
      </c>
      <c r="AF37" t="s">
        <v>32</v>
      </c>
      <c r="AG37" t="s">
        <v>32</v>
      </c>
      <c r="AH37" t="str" cm="1">
        <f t="array" ref="AH37">ReverseComplement(Table13[[#This Row],[Sequence]])</f>
        <v>GTTACGTCCCTTAGATGGCGGGCTGCACGTGCGCTACAATGACGGAGTCAGCGAGCTCTGCCCTACTTCGTACGAAGCGGGAAATCTTGTGAAACTCCGTCGTGATAGGGATTGACCTTTGCAATTATGGGTCATGAACGAGGAATTCCTAGTAAGGACAAGTCATCACCTTGTGCTGATTACGTCCCTGCCCTTTGTACACACCGCCCGTCGCTTCAACCGATTGGATGATCCGGCAAATTACATGGACTTACGTAGCTGCTTTGCTCTGCACTGCTCTTCGTGAGGAAATGTTGTGAGCCTTATCATCTAGAGGAT</v>
      </c>
    </row>
    <row r="38" spans="1:36" ht="14.5" x14ac:dyDescent="0.35">
      <c r="A38" s="22">
        <v>1</v>
      </c>
      <c r="B38" s="15">
        <v>44686</v>
      </c>
      <c r="C38">
        <v>2</v>
      </c>
      <c r="D38" t="str">
        <f>Table13[[#This Row],[Nanopore_Run]] &amp; "_" &amp; Table13[[#This Row],[Barcode_ID]]</f>
        <v>1_2</v>
      </c>
      <c r="E38">
        <v>938</v>
      </c>
      <c r="F38">
        <f>IF(COUNTIF($D$8:D38, D38)=1, Table13[[#This Row],[Reads count]], 0)</f>
        <v>0</v>
      </c>
      <c r="G38" s="16">
        <v>89.271681769723017</v>
      </c>
      <c r="H38" t="s">
        <v>23</v>
      </c>
      <c r="I38" t="s">
        <v>24</v>
      </c>
      <c r="J38" t="s">
        <v>75</v>
      </c>
      <c r="K38" t="str">
        <f t="shared" si="0"/>
        <v>1_2_Am</v>
      </c>
      <c r="L38">
        <v>1</v>
      </c>
      <c r="M38" t="s">
        <v>259</v>
      </c>
      <c r="N38" t="s">
        <v>76</v>
      </c>
      <c r="O38" t="s">
        <v>77</v>
      </c>
      <c r="P38" s="14">
        <v>400</v>
      </c>
      <c r="Q38" s="1" t="s">
        <v>37</v>
      </c>
      <c r="R38">
        <v>130</v>
      </c>
      <c r="S38">
        <f>IF(COUNTIF($K$8:K38, K38)=1, Table13[[#This Row],[Cutadapt_Metrics_Total_Reads]], 0)</f>
        <v>130</v>
      </c>
      <c r="T38" s="2">
        <f>(Table13[[#This Row],[Cutadapt_Metrics_Total_Reads]]/Table13[[#This Row],[Reads count]])*100</f>
        <v>13.859275053304904</v>
      </c>
      <c r="U38" t="s">
        <v>115</v>
      </c>
      <c r="V38" t="str">
        <f>Table13[[#This Row],[Amplicon_consensus]] &amp; "_Run" &amp; A38 &amp; "_Barcode" &amp; C38 &amp; "_" &amp; Table13[[#This Row],[Host]] &amp; "_" &amp; Table13[[#This Row],[Primers]]</f>
        <v>&gt;consensus_cl_id_4_total_supporting_reads_84_Run1_Barcode2_Gryllus bimaculatus_Am</v>
      </c>
      <c r="W38">
        <v>84</v>
      </c>
      <c r="X38" s="17">
        <f>(Table13[[#This Row],[Supported_by_x_reads]]/Table13[[#This Row],[Cutadapt_Metrics_Total_Reads]])*100</f>
        <v>64.615384615384613</v>
      </c>
      <c r="Y38" t="s">
        <v>116</v>
      </c>
      <c r="Z38">
        <f>LEN(Table13[[#This Row],[Sequence]])</f>
        <v>382</v>
      </c>
      <c r="AA38" t="s">
        <v>64</v>
      </c>
      <c r="AB38" t="s">
        <v>371</v>
      </c>
      <c r="AC38">
        <v>85</v>
      </c>
      <c r="AD38">
        <v>98.5</v>
      </c>
      <c r="AE38" t="s">
        <v>430</v>
      </c>
      <c r="AF38" t="s">
        <v>54</v>
      </c>
      <c r="AG38" t="s">
        <v>31</v>
      </c>
      <c r="AH38" t="s">
        <v>31</v>
      </c>
    </row>
    <row r="39" spans="1:36" ht="14.5" customHeight="1" x14ac:dyDescent="0.35">
      <c r="A39" s="22">
        <v>1</v>
      </c>
      <c r="B39" s="15">
        <v>44686</v>
      </c>
      <c r="C39">
        <v>3</v>
      </c>
      <c r="D39" t="str">
        <f>Table13[[#This Row],[Nanopore_Run]] &amp; "_" &amp; Table13[[#This Row],[Barcode_ID]]</f>
        <v>1_3</v>
      </c>
      <c r="E39">
        <v>871</v>
      </c>
      <c r="F39">
        <f>IF(COUNTIF($D$8:D39, D39)=1, Table13[[#This Row],[Reads count]], 0)</f>
        <v>871</v>
      </c>
      <c r="G39" s="16">
        <v>89.918568427094868</v>
      </c>
      <c r="H39" t="s">
        <v>63</v>
      </c>
      <c r="I39" t="s">
        <v>64</v>
      </c>
      <c r="J39" t="s">
        <v>35</v>
      </c>
      <c r="K39" t="str">
        <f t="shared" si="0"/>
        <v>1_3_AmRC / iLSUr</v>
      </c>
      <c r="L39">
        <v>1</v>
      </c>
      <c r="M39" t="s">
        <v>26</v>
      </c>
      <c r="N39" t="s">
        <v>36</v>
      </c>
      <c r="O39" t="s">
        <v>28</v>
      </c>
      <c r="P39" s="14">
        <v>4200</v>
      </c>
      <c r="Q39" s="1" t="s">
        <v>37</v>
      </c>
      <c r="R39">
        <v>1</v>
      </c>
      <c r="S39">
        <f>IF(COUNTIF($K$8:K39, K39)=1, Table13[[#This Row],[Cutadapt_Metrics_Total_Reads]], 0)</f>
        <v>1</v>
      </c>
      <c r="T39" s="2">
        <f>(Table13[[#This Row],[Cutadapt_Metrics_Total_Reads]]/Table13[[#This Row],[Reads count]])*100</f>
        <v>0.11481056257175661</v>
      </c>
      <c r="U39" t="s">
        <v>43</v>
      </c>
      <c r="V39" t="str">
        <f>Table13[[#This Row],[Amplicon_consensus]] &amp; "_Run" &amp; A39 &amp; "_Barcode" &amp; C39 &amp; "_" &amp; Table13[[#This Row],[Host]] &amp; "_" &amp; Table13[[#This Row],[Primers]]</f>
        <v>&gt;consensus_cl_id_0_total_supporting_reads_1_Run1_Barcode3_Galleria mellonella_AmRC / iLSUr</v>
      </c>
      <c r="W39">
        <v>1</v>
      </c>
      <c r="X39" s="17">
        <f>(Table13[[#This Row],[Supported_by_x_reads]]/Table13[[#This Row],[Cutadapt_Metrics_Total_Reads]])*100</f>
        <v>100</v>
      </c>
      <c r="Y39" t="s">
        <v>65</v>
      </c>
      <c r="Z39">
        <f>LEN(Table13[[#This Row],[Sequence]])</f>
        <v>4213</v>
      </c>
      <c r="AA39" t="s">
        <v>66</v>
      </c>
      <c r="AB39" t="s">
        <v>417</v>
      </c>
      <c r="AC39">
        <v>68</v>
      </c>
      <c r="AD39">
        <v>92.1</v>
      </c>
      <c r="AE39" t="s">
        <v>67</v>
      </c>
      <c r="AF39" t="s">
        <v>54</v>
      </c>
      <c r="AG39" t="s">
        <v>54</v>
      </c>
      <c r="AH39" t="s">
        <v>31</v>
      </c>
    </row>
    <row r="40" spans="1:36" ht="14.5" x14ac:dyDescent="0.35">
      <c r="A40" s="22">
        <v>1</v>
      </c>
      <c r="B40" s="15">
        <v>44686</v>
      </c>
      <c r="C40">
        <v>3</v>
      </c>
      <c r="D40" t="str">
        <f>Table13[[#This Row],[Nanopore_Run]] &amp; "_" &amp; Table13[[#This Row],[Barcode_ID]]</f>
        <v>1_3</v>
      </c>
      <c r="E40">
        <v>871</v>
      </c>
      <c r="F40">
        <f>IF(COUNTIF($D$8:D40, D40)=1, Table13[[#This Row],[Reads count]], 0)</f>
        <v>0</v>
      </c>
      <c r="G40" s="16">
        <v>89.918568427094868</v>
      </c>
      <c r="H40" t="s">
        <v>63</v>
      </c>
      <c r="I40" t="s">
        <v>64</v>
      </c>
      <c r="J40" t="s">
        <v>48</v>
      </c>
      <c r="K40" t="str">
        <f t="shared" ref="K40:K71" si="1">A40 &amp; "_" &amp; C40 &amp; "_" &amp; TRIM(J40)</f>
        <v>1_3_KinetRC / iLSUr</v>
      </c>
      <c r="L40">
        <v>2</v>
      </c>
      <c r="M40" t="s">
        <v>26</v>
      </c>
      <c r="N40" t="s">
        <v>49</v>
      </c>
      <c r="O40" t="s">
        <v>28</v>
      </c>
      <c r="P40" s="14">
        <v>2000</v>
      </c>
      <c r="Q40" s="1" t="s">
        <v>257</v>
      </c>
      <c r="R40">
        <v>3</v>
      </c>
      <c r="S40">
        <f>IF(COUNTIF($K$8:K40, K40)=1, Table13[[#This Row],[Cutadapt_Metrics_Total_Reads]], 0)</f>
        <v>3</v>
      </c>
      <c r="T40" s="2">
        <f>(Table13[[#This Row],[Cutadapt_Metrics_Total_Reads]]/Table13[[#This Row],[Reads count]])*100</f>
        <v>0.34443168771526977</v>
      </c>
      <c r="U40" t="s">
        <v>68</v>
      </c>
      <c r="V40" t="str">
        <f>Table13[[#This Row],[Amplicon_consensus]] &amp; "_Run" &amp; A40 &amp; "_Barcode" &amp; C40 &amp; "_" &amp; Table13[[#This Row],[Host]] &amp; "_" &amp; Table13[[#This Row],[Primers]]</f>
        <v>&gt;consensus_cl_id_0_total_supporting_reads_2_Run1_Barcode3_Galleria mellonella_KinetRC / iLSUr</v>
      </c>
      <c r="W40">
        <v>2</v>
      </c>
      <c r="X40" s="17">
        <f>(Table13[[#This Row],[Supported_by_x_reads]]/Table13[[#This Row],[Cutadapt_Metrics_Total_Reads]])*100</f>
        <v>66.666666666666657</v>
      </c>
      <c r="Y40" t="s">
        <v>69</v>
      </c>
      <c r="Z40">
        <f>LEN(Table13[[#This Row],[Sequence]])</f>
        <v>5058</v>
      </c>
      <c r="AA40" t="s">
        <v>366</v>
      </c>
      <c r="AB40" t="s">
        <v>365</v>
      </c>
      <c r="AC40">
        <v>44</v>
      </c>
      <c r="AD40">
        <v>95.6</v>
      </c>
      <c r="AE40" t="s">
        <v>47</v>
      </c>
      <c r="AF40" t="s">
        <v>32</v>
      </c>
      <c r="AG40" t="s">
        <v>32</v>
      </c>
      <c r="AH40" t="s">
        <v>70</v>
      </c>
      <c r="AI40">
        <f>LEN(Table13[[#This Row],[Correct_seq_if_RC]])</f>
        <v>5058</v>
      </c>
      <c r="AJ40" t="str">
        <f>IF(Table13[[#This Row],[Column1]]=Table13[[#This Row],[Sequence_length]],"yes","no")</f>
        <v>yes</v>
      </c>
    </row>
    <row r="41" spans="1:36" ht="14.5" x14ac:dyDescent="0.35">
      <c r="A41" s="22">
        <v>1</v>
      </c>
      <c r="B41" s="15">
        <v>44686</v>
      </c>
      <c r="C41">
        <v>3</v>
      </c>
      <c r="D41" t="str">
        <f>Table13[[#This Row],[Nanopore_Run]] &amp; "_" &amp; Table13[[#This Row],[Barcode_ID]]</f>
        <v>1_3</v>
      </c>
      <c r="E41">
        <v>871</v>
      </c>
      <c r="F41">
        <f>IF(COUNTIF($D$8:D41, D41)=1, Table13[[#This Row],[Reads count]], 0)</f>
        <v>0</v>
      </c>
      <c r="G41" s="16">
        <v>89.918568427094868</v>
      </c>
      <c r="H41" t="s">
        <v>63</v>
      </c>
      <c r="I41" t="s">
        <v>64</v>
      </c>
      <c r="J41" t="s">
        <v>48</v>
      </c>
      <c r="K41" t="str">
        <f t="shared" si="1"/>
        <v>1_3_KinetRC / iLSUr</v>
      </c>
      <c r="L41">
        <v>2</v>
      </c>
      <c r="M41" t="s">
        <v>26</v>
      </c>
      <c r="N41" t="s">
        <v>49</v>
      </c>
      <c r="O41" t="s">
        <v>28</v>
      </c>
      <c r="P41" s="14">
        <v>2000</v>
      </c>
      <c r="Q41" s="1" t="s">
        <v>257</v>
      </c>
      <c r="R41">
        <v>3</v>
      </c>
      <c r="S41">
        <f>IF(COUNTIF($K$8:K41, K41)=1, Table13[[#This Row],[Cutadapt_Metrics_Total_Reads]], 0)</f>
        <v>0</v>
      </c>
      <c r="T41" s="2">
        <f>(Table13[[#This Row],[Cutadapt_Metrics_Total_Reads]]/Table13[[#This Row],[Reads count]])*100</f>
        <v>0.34443168771526977</v>
      </c>
      <c r="U41" t="s">
        <v>350</v>
      </c>
      <c r="V41" t="str">
        <f>Table13[[#This Row],[Amplicon_consensus]] &amp; "_Run" &amp; A41 &amp; "_Barcode" &amp; C41 &amp; "_" &amp; Table13[[#This Row],[Host]] &amp; "_" &amp; Table13[[#This Row],[Primers]]</f>
        <v>&gt;consensus_cl_id_2_total_supporting_reads_1_Run1_Barcode3_Galleria mellonella_KinetRC / iLSUr</v>
      </c>
      <c r="W41">
        <v>1</v>
      </c>
      <c r="X41" s="17">
        <f>(Table13[[#This Row],[Supported_by_x_reads]]/Table13[[#This Row],[Cutadapt_Metrics_Total_Reads]])*100</f>
        <v>33.333333333333329</v>
      </c>
      <c r="Y41" t="s">
        <v>418</v>
      </c>
      <c r="Z41">
        <f>LEN(Table13[[#This Row],[Sequence]])</f>
        <v>5190</v>
      </c>
      <c r="AA41" t="s">
        <v>66</v>
      </c>
      <c r="AB41" t="s">
        <v>419</v>
      </c>
      <c r="AC41">
        <v>56</v>
      </c>
      <c r="AD41">
        <v>91.7</v>
      </c>
      <c r="AE41" t="s">
        <v>67</v>
      </c>
      <c r="AF41" t="s">
        <v>54</v>
      </c>
      <c r="AG41" t="s">
        <v>54</v>
      </c>
      <c r="AH41" t="s">
        <v>31</v>
      </c>
    </row>
    <row r="42" spans="1:36" ht="14.5" x14ac:dyDescent="0.35">
      <c r="A42" s="22">
        <v>1</v>
      </c>
      <c r="B42" s="15">
        <v>44686</v>
      </c>
      <c r="C42">
        <v>3</v>
      </c>
      <c r="D42" t="str">
        <f>Table13[[#This Row],[Nanopore_Run]] &amp; "_" &amp; Table13[[#This Row],[Barcode_ID]]</f>
        <v>1_3</v>
      </c>
      <c r="E42">
        <v>871</v>
      </c>
      <c r="F42">
        <f>IF(COUNTIF($D$8:D42, D42)=1, Table13[[#This Row],[Reads count]], 0)</f>
        <v>0</v>
      </c>
      <c r="G42" s="16">
        <v>89.918568427094868</v>
      </c>
      <c r="H42" t="s">
        <v>63</v>
      </c>
      <c r="I42" t="s">
        <v>64</v>
      </c>
      <c r="J42" t="s">
        <v>440</v>
      </c>
      <c r="K42" t="str">
        <f t="shared" si="1"/>
        <v>1_3_KinetF / KinetR</v>
      </c>
      <c r="L42">
        <v>4</v>
      </c>
      <c r="M42" t="s">
        <v>259</v>
      </c>
      <c r="N42" t="s">
        <v>71</v>
      </c>
      <c r="O42" t="s">
        <v>72</v>
      </c>
      <c r="P42" s="14">
        <v>5000</v>
      </c>
      <c r="Q42" s="1" t="s">
        <v>257</v>
      </c>
      <c r="R42">
        <v>12</v>
      </c>
      <c r="S42">
        <f>IF(COUNTIF($K$8:K42, K42)=1, Table13[[#This Row],[Cutadapt_Metrics_Total_Reads]], 0)</f>
        <v>12</v>
      </c>
      <c r="T42" s="2">
        <f>(Table13[[#This Row],[Cutadapt_Metrics_Total_Reads]]/Table13[[#This Row],[Reads count]])*100</f>
        <v>1.3777267508610791</v>
      </c>
      <c r="U42" t="s">
        <v>73</v>
      </c>
      <c r="V42" t="str">
        <f>Table13[[#This Row],[Amplicon_consensus]] &amp; "_Run" &amp; A42 &amp; "_Barcode" &amp; C42 &amp; "_" &amp; Table13[[#This Row],[Host]] &amp; "_" &amp; Table13[[#This Row],[Primers]]</f>
        <v>&gt;consensus_cl_id_0_total_supporting_reads_5_Run1_Barcode3_Galleria mellonella_KinetF / KinetR</v>
      </c>
      <c r="W42">
        <v>5</v>
      </c>
      <c r="X42" s="17">
        <f>(Table13[[#This Row],[Supported_by_x_reads]]/Table13[[#This Row],[Cutadapt_Metrics_Total_Reads]])*100</f>
        <v>41.666666666666671</v>
      </c>
      <c r="Y42" t="s">
        <v>74</v>
      </c>
      <c r="Z42">
        <f>LEN(Table13[[#This Row],[Sequence]])</f>
        <v>1881</v>
      </c>
      <c r="AA42" t="s">
        <v>66</v>
      </c>
      <c r="AB42" t="s">
        <v>383</v>
      </c>
      <c r="AC42">
        <v>93</v>
      </c>
      <c r="AD42">
        <v>99.7</v>
      </c>
      <c r="AE42" t="s">
        <v>67</v>
      </c>
      <c r="AG42" t="s">
        <v>54</v>
      </c>
      <c r="AH42" t="s">
        <v>31</v>
      </c>
    </row>
    <row r="43" spans="1:36" ht="14.5" x14ac:dyDescent="0.35">
      <c r="A43" s="22">
        <v>1</v>
      </c>
      <c r="B43" s="15">
        <v>44686</v>
      </c>
      <c r="C43">
        <v>3</v>
      </c>
      <c r="D43" t="str">
        <f>Table13[[#This Row],[Nanopore_Run]] &amp; "_" &amp; Table13[[#This Row],[Barcode_ID]]</f>
        <v>1_3</v>
      </c>
      <c r="E43">
        <v>871</v>
      </c>
      <c r="F43">
        <f>IF(COUNTIF($D$8:D43, D43)=1, Table13[[#This Row],[Reads count]], 0)</f>
        <v>0</v>
      </c>
      <c r="G43" s="16">
        <v>89.918568427094868</v>
      </c>
      <c r="H43" t="s">
        <v>63</v>
      </c>
      <c r="I43" t="s">
        <v>64</v>
      </c>
      <c r="J43" t="s">
        <v>440</v>
      </c>
      <c r="K43" t="str">
        <f t="shared" si="1"/>
        <v>1_3_KinetF / KinetR</v>
      </c>
      <c r="L43">
        <v>4</v>
      </c>
      <c r="M43" t="s">
        <v>259</v>
      </c>
      <c r="N43" t="s">
        <v>71</v>
      </c>
      <c r="O43" t="s">
        <v>72</v>
      </c>
      <c r="P43" s="14">
        <v>5000</v>
      </c>
      <c r="Q43" s="1" t="s">
        <v>257</v>
      </c>
      <c r="R43">
        <v>12</v>
      </c>
      <c r="S43">
        <f>IF(COUNTIF($K$8:K43, K43)=1, Table13[[#This Row],[Cutadapt_Metrics_Total_Reads]], 0)</f>
        <v>0</v>
      </c>
      <c r="T43" s="2">
        <f>(Table13[[#This Row],[Cutadapt_Metrics_Total_Reads]]/Table13[[#This Row],[Reads count]])*100</f>
        <v>1.3777267508610791</v>
      </c>
      <c r="U43" t="s">
        <v>261</v>
      </c>
      <c r="V43" t="str">
        <f>Table13[[#This Row],[Amplicon_consensus]] &amp; "_Run" &amp; A43 &amp; "_Barcode" &amp; C43 &amp; "_" &amp; Table13[[#This Row],[Host]] &amp; "_" &amp; Table13[[#This Row],[Primers]]</f>
        <v>&gt;consensus_cl_id_2_total_supporting_reads_3_Run1_Barcode3_Galleria mellonella_KinetF / KinetR</v>
      </c>
      <c r="W43">
        <v>3</v>
      </c>
      <c r="X43" s="17">
        <f>(Table13[[#This Row],[Supported_by_x_reads]]/Table13[[#This Row],[Cutadapt_Metrics_Total_Reads]])*100</f>
        <v>25</v>
      </c>
      <c r="Y43" t="s">
        <v>420</v>
      </c>
      <c r="Z43">
        <f>LEN(Table13[[#This Row],[Sequence]])</f>
        <v>1811</v>
      </c>
      <c r="AA43" t="s">
        <v>425</v>
      </c>
      <c r="AB43" t="s">
        <v>426</v>
      </c>
      <c r="AC43">
        <v>96</v>
      </c>
      <c r="AD43">
        <v>91.6</v>
      </c>
      <c r="AE43" t="s">
        <v>45</v>
      </c>
      <c r="AG43" t="s">
        <v>54</v>
      </c>
      <c r="AH43" t="s">
        <v>31</v>
      </c>
    </row>
    <row r="44" spans="1:36" ht="14.5" x14ac:dyDescent="0.35">
      <c r="A44" s="22">
        <v>1</v>
      </c>
      <c r="B44" s="15">
        <v>44686</v>
      </c>
      <c r="C44">
        <v>3</v>
      </c>
      <c r="D44" t="str">
        <f>Table13[[#This Row],[Nanopore_Run]] &amp; "_" &amp; Table13[[#This Row],[Barcode_ID]]</f>
        <v>1_3</v>
      </c>
      <c r="E44">
        <v>871</v>
      </c>
      <c r="F44">
        <f>IF(COUNTIF($D$8:D44, D44)=1, Table13[[#This Row],[Reads count]], 0)</f>
        <v>0</v>
      </c>
      <c r="G44" s="16">
        <v>89.918568427094868</v>
      </c>
      <c r="H44" t="s">
        <v>63</v>
      </c>
      <c r="I44" t="s">
        <v>64</v>
      </c>
      <c r="J44" t="s">
        <v>440</v>
      </c>
      <c r="K44" t="str">
        <f t="shared" si="1"/>
        <v>1_3_KinetF / KinetR</v>
      </c>
      <c r="L44">
        <v>4</v>
      </c>
      <c r="M44" t="s">
        <v>259</v>
      </c>
      <c r="N44" t="s">
        <v>71</v>
      </c>
      <c r="O44" t="s">
        <v>72</v>
      </c>
      <c r="P44" s="14">
        <v>5000</v>
      </c>
      <c r="Q44" s="1" t="s">
        <v>257</v>
      </c>
      <c r="R44">
        <v>12</v>
      </c>
      <c r="S44">
        <f>IF(COUNTIF($K$8:K44, K44)=1, Table13[[#This Row],[Cutadapt_Metrics_Total_Reads]], 0)</f>
        <v>0</v>
      </c>
      <c r="T44" s="2">
        <f>(Table13[[#This Row],[Cutadapt_Metrics_Total_Reads]]/Table13[[#This Row],[Reads count]])*100</f>
        <v>1.3777267508610791</v>
      </c>
      <c r="U44" t="s">
        <v>421</v>
      </c>
      <c r="V44" t="str">
        <f>Table13[[#This Row],[Amplicon_consensus]] &amp; "_Run" &amp; A44 &amp; "_Barcode" &amp; C44 &amp; "_" &amp; Table13[[#This Row],[Host]] &amp; "_" &amp; Table13[[#This Row],[Primers]]</f>
        <v>&gt;consensus_cl_id_5_total_supporting_reads_3_Run1_Barcode3_Galleria mellonella_KinetF / KinetR</v>
      </c>
      <c r="W44">
        <v>3</v>
      </c>
      <c r="X44" s="17">
        <f>(Table13[[#This Row],[Supported_by_x_reads]]/Table13[[#This Row],[Cutadapt_Metrics_Total_Reads]])*100</f>
        <v>25</v>
      </c>
      <c r="Y44" t="s">
        <v>422</v>
      </c>
      <c r="Z44">
        <f>LEN(Table13[[#This Row],[Sequence]])</f>
        <v>2150</v>
      </c>
      <c r="AA44" t="s">
        <v>393</v>
      </c>
      <c r="AB44" t="s">
        <v>392</v>
      </c>
      <c r="AC44">
        <v>93</v>
      </c>
      <c r="AD44">
        <v>89.2</v>
      </c>
      <c r="AE44" t="s">
        <v>67</v>
      </c>
      <c r="AG44" t="s">
        <v>427</v>
      </c>
      <c r="AH44" t="str" cm="1">
        <f t="array" ref="AH44">ReverseComplement(Y45)</f>
        <v>AAGCATCACAGACCTGTTATTGCCTCAAACTTCCATCGACTTGAAATCGATAGTCCCTCTAAGAAGTGACTATACCAGCAAAAGCTAGCAGCACTATTTAGTAGGTTAAGCGTCTCGTTCGTTATCGCACCTCAAGCAGACAAATCACTCCACCAACTAAGAACGGCCATGCACCACCACCCACAAAATCAAGAAAGAGCTCTCAATCTGTCAATCCTTATTGTGTCTGGACCTGGTGAGTTTCCCCGTGTTGAGTCAAATTAAGCCGCAGGCTCCACTCCTGGTGTGCCCTTCCGTCAATTCCTGCCAGCAGTCATATGCTTGTTTCAAAGATTAAGCCATGCAAGTTCAAGTATAAGCTTTTATACGGCAAAACTGCGAATAGCTCATTACAACAGTTATATTCACAATCGAAGATCATTACCAAATGGATATCCATGGTAATTCTGAGCCAATACATGCAAAAACACCCGACTTCGTAGAAGGGGTGGCATTCATTAGCATTGGAACCATCCAGGTTTTCGGACCTGTTCTTGGTGATCATAATGACCGAGCGGATCGCATCTTGCGACAGTTCGTTCGAGTTTTCTGACCTATCTAGCTCCTGTCGGTAGGGTATTGGCCTACCGAGGCTGTGACGGGTAACGGGGAATTAGGGTTCGATTCCGGAGAGGGAGCCTGAGAGACGGCAACACATCTAAGTACGGCAGCAGGCGCGCAAATTACCCAATCCCGATACGGGGAGGTAGTGTGACCAGAAATAGCAACTCAGGACCTTTCGGTTCTGTGATTGCAATGAGCGAGCAAAACTATTTGCGAGTACCTATTGGAGGGCAAGTCTGGTGCCAGCAGCCGCGGTAATTCCAGCTCCAATAGCGTATATTAAAATTGTTGCAGTTAAAGCGTCCGTAGTTGATTTCGTCCAAATCGGAGACGTCTGTCTGACTTCGTGGTGTTAGTCAGTGCACTTTCTGTTTCGGACTCGGGTGATAGCTTCGGCTGTACTGCTCTGTTACTTTGAGCAAATTGGCGTTCCAACCAGGCCATAGCTTAAACAGCTCAGCATGGAATAACAAAATATAGGACTGTGATCCTCCTTGTTGGTGACGTGGAACACAAGTAATGGTTGATAAGGACATACGGGGCATCTGTACTTGCTGGAGAGAGGTGAAATTTAAGACTCCAGCAAAGACAAACAAGGAAAGCATTTGCCCAGTGTGTGCCTGTTAATCAAGGACGAAAGTTGGGGGATCGAAGACGCTTAGATACCGTCGTAGTCCCAACTATAAACTATGCCGACTGAGGATCGGAGGTTGTACAAATACGACTCCCTTTTCCGGCACCCAAGAGAAATCTAAGTCTCTGGGCCCTGGGGGAGTATGGTCGCAAGGCTGAAACTTAAAGGAATTGACGGAAGGGCACTTAATAGGAGTGGAGCCTGCGGCTTAATTTGACTCAACGCGGGGAACCTCACCAGGCCCGGACATAGTCATGATTGACAGATTGAGAGTTCTTTCTCGATTCTATGGGTGGTGGTGCATGGCCGTTCTTAGTCGGTGAGGTGACTTGTCTGGTTAATTCCGGATAACGGACGAGACTCGACTTACTAACTAGCCTTCGTTTACTTCGTAAGCGATTGGCTTTTAGAGGGGACTTTGTGAGACTATCACAAGGAAGTTCGAGCCTATAACAGGTTCGTGATGCCCTTAGATGGCCTGGGCTGCACGTGTGCTGAACATGGAGTCATGAGTTTCTACCCTCTACTCCGTACGGGCGGAAATCTTGTGAAACTCCGTCGTGATAGGGATTGACCTTTGCAATTATGGGTCATAACGAGGGAAATTTAGTAAGGACAAGTCATCACCTTGTGCTGATTACGTCCCTGCCCTTTGTACACACCGCCCGTCGCTTCAACCGATTGATGATCCGGCAAATTACATGGACTTACGTAGCTGCTTTGTTCTACATCGCTCTTCGTGAGGAAATGTTGTGAGCCTTATCATCTAGAGGATGAAGAAGTCGTAACACGGT</v>
      </c>
    </row>
    <row r="45" spans="1:36" ht="14.5" x14ac:dyDescent="0.35">
      <c r="A45" s="22">
        <v>1</v>
      </c>
      <c r="B45" s="15">
        <v>44686</v>
      </c>
      <c r="C45">
        <v>3</v>
      </c>
      <c r="D45" t="str">
        <f>Table13[[#This Row],[Nanopore_Run]] &amp; "_" &amp; Table13[[#This Row],[Barcode_ID]]</f>
        <v>1_3</v>
      </c>
      <c r="E45">
        <v>871</v>
      </c>
      <c r="F45">
        <f>IF(COUNTIF($D$8:D45, D45)=1, Table13[[#This Row],[Reads count]], 0)</f>
        <v>0</v>
      </c>
      <c r="G45" s="16">
        <v>89.918568427094868</v>
      </c>
      <c r="H45" t="s">
        <v>63</v>
      </c>
      <c r="I45" t="s">
        <v>64</v>
      </c>
      <c r="J45" t="s">
        <v>440</v>
      </c>
      <c r="K45" t="str">
        <f t="shared" si="1"/>
        <v>1_3_KinetF / KinetR</v>
      </c>
      <c r="L45">
        <v>4</v>
      </c>
      <c r="M45" t="s">
        <v>259</v>
      </c>
      <c r="N45" t="s">
        <v>71</v>
      </c>
      <c r="O45" t="s">
        <v>72</v>
      </c>
      <c r="P45" s="14">
        <v>5000</v>
      </c>
      <c r="Q45" s="1" t="s">
        <v>257</v>
      </c>
      <c r="R45">
        <v>12</v>
      </c>
      <c r="S45">
        <f>IF(COUNTIF($K$8:K45, K45)=1, Table13[[#This Row],[Cutadapt_Metrics_Total_Reads]], 0)</f>
        <v>0</v>
      </c>
      <c r="T45" s="2">
        <f>(Table13[[#This Row],[Cutadapt_Metrics_Total_Reads]]/Table13[[#This Row],[Reads count]])*100</f>
        <v>1.3777267508610791</v>
      </c>
      <c r="U45" t="s">
        <v>423</v>
      </c>
      <c r="V45" t="str">
        <f>Table13[[#This Row],[Amplicon_consensus]] &amp; "_Run" &amp; A45 &amp; "_Barcode" &amp; C45 &amp; "_" &amp; Table13[[#This Row],[Host]] &amp; "_" &amp; Table13[[#This Row],[Primers]]</f>
        <v>&gt;consensus_cl_id_9_total_supporting_reads_1_Run1_Barcode3_Galleria mellonella_KinetF / KinetR</v>
      </c>
      <c r="W45">
        <v>1</v>
      </c>
      <c r="X45" s="17">
        <f>(Table13[[#This Row],[Supported_by_x_reads]]/Table13[[#This Row],[Cutadapt_Metrics_Total_Reads]])*100</f>
        <v>8.3333333333333321</v>
      </c>
      <c r="Y45" t="s">
        <v>424</v>
      </c>
      <c r="Z45">
        <f>LEN(Table13[[#This Row],[Sequence]])</f>
        <v>2031</v>
      </c>
      <c r="AA45" t="s">
        <v>386</v>
      </c>
      <c r="AB45" t="s">
        <v>290</v>
      </c>
      <c r="AC45">
        <v>95</v>
      </c>
      <c r="AD45">
        <v>94.4</v>
      </c>
      <c r="AE45" t="s">
        <v>47</v>
      </c>
      <c r="AF45" t="s">
        <v>54</v>
      </c>
      <c r="AG45" t="s">
        <v>54</v>
      </c>
      <c r="AH45" t="s">
        <v>31</v>
      </c>
    </row>
    <row r="46" spans="1:36" ht="14.5" x14ac:dyDescent="0.35">
      <c r="A46" s="20">
        <v>1</v>
      </c>
      <c r="B46" s="15">
        <v>44686</v>
      </c>
      <c r="C46">
        <v>3</v>
      </c>
      <c r="D46" t="str">
        <f>Table13[[#This Row],[Nanopore_Run]] &amp; "_" &amp; Table13[[#This Row],[Barcode_ID]]</f>
        <v>1_3</v>
      </c>
      <c r="E46">
        <v>871</v>
      </c>
      <c r="F46">
        <f>IF(COUNTIF($D$8:D46, D46)=1, Table13[[#This Row],[Reads count]], 0)</f>
        <v>0</v>
      </c>
      <c r="G46" s="16">
        <v>89.918568427094868</v>
      </c>
      <c r="H46" t="s">
        <v>63</v>
      </c>
      <c r="I46" t="s">
        <v>64</v>
      </c>
      <c r="J46" t="s">
        <v>75</v>
      </c>
      <c r="K46" t="str">
        <f t="shared" si="1"/>
        <v>1_3_Am</v>
      </c>
      <c r="L46">
        <v>2</v>
      </c>
      <c r="M46" t="s">
        <v>259</v>
      </c>
      <c r="N46" t="s">
        <v>76</v>
      </c>
      <c r="O46" t="s">
        <v>77</v>
      </c>
      <c r="P46" s="14">
        <v>400</v>
      </c>
      <c r="Q46" s="1" t="s">
        <v>37</v>
      </c>
      <c r="R46">
        <v>136</v>
      </c>
      <c r="S46">
        <f>IF(COUNTIF($K$8:K46, K46)=1, Table13[[#This Row],[Cutadapt_Metrics_Total_Reads]], 0)</f>
        <v>136</v>
      </c>
      <c r="T46" s="2">
        <f>(Table13[[#This Row],[Cutadapt_Metrics_Total_Reads]]/Table13[[#This Row],[Reads count]])*100</f>
        <v>15.614236509758896</v>
      </c>
      <c r="U46" t="s">
        <v>428</v>
      </c>
      <c r="V46" t="str">
        <f>Table13[[#This Row],[Amplicon_consensus]] &amp; "_Run" &amp; A46 &amp; "_Barcode" &amp; C46 &amp; "_" &amp; Table13[[#This Row],[Host]] &amp; "_" &amp; Table13[[#This Row],[Primers]]</f>
        <v>&gt;consensus_cl_id_0_total_supporting_reads_14_Run1_Barcode3_Galleria mellonella_Am</v>
      </c>
      <c r="W46">
        <v>14</v>
      </c>
      <c r="X46" s="17">
        <f>(Table13[[#This Row],[Supported_by_x_reads]]/Table13[[#This Row],[Cutadapt_Metrics_Total_Reads]])*100</f>
        <v>10.294117647058822</v>
      </c>
      <c r="Y46" t="s">
        <v>429</v>
      </c>
      <c r="Z46">
        <f>LEN(Table13[[#This Row],[Sequence]])</f>
        <v>549</v>
      </c>
      <c r="AA46" t="s">
        <v>64</v>
      </c>
      <c r="AB46" t="s">
        <v>371</v>
      </c>
      <c r="AC46">
        <v>64</v>
      </c>
      <c r="AD46">
        <v>97.4</v>
      </c>
      <c r="AE46" t="s">
        <v>430</v>
      </c>
      <c r="AF46" t="s">
        <v>54</v>
      </c>
      <c r="AG46" t="s">
        <v>54</v>
      </c>
      <c r="AH46" t="s">
        <v>31</v>
      </c>
    </row>
    <row r="47" spans="1:36" ht="14.5" x14ac:dyDescent="0.35">
      <c r="A47" s="22">
        <v>1</v>
      </c>
      <c r="B47" s="15">
        <v>44686</v>
      </c>
      <c r="C47">
        <v>3</v>
      </c>
      <c r="D47" t="str">
        <f>Table13[[#This Row],[Nanopore_Run]] &amp; "_" &amp; Table13[[#This Row],[Barcode_ID]]</f>
        <v>1_3</v>
      </c>
      <c r="E47">
        <v>871</v>
      </c>
      <c r="F47">
        <f>IF(COUNTIF($D$8:D47, D47)=1, Table13[[#This Row],[Reads count]], 0)</f>
        <v>0</v>
      </c>
      <c r="G47" s="16">
        <v>89.918568427094868</v>
      </c>
      <c r="H47" t="s">
        <v>63</v>
      </c>
      <c r="I47" t="s">
        <v>64</v>
      </c>
      <c r="J47" t="s">
        <v>75</v>
      </c>
      <c r="K47" t="str">
        <f t="shared" si="1"/>
        <v>1_3_Am</v>
      </c>
      <c r="L47">
        <v>2</v>
      </c>
      <c r="M47" t="s">
        <v>259</v>
      </c>
      <c r="N47" t="s">
        <v>76</v>
      </c>
      <c r="O47" t="s">
        <v>77</v>
      </c>
      <c r="P47" s="14">
        <v>400</v>
      </c>
      <c r="Q47" s="1" t="s">
        <v>37</v>
      </c>
      <c r="R47">
        <v>136</v>
      </c>
      <c r="S47">
        <f>IF(COUNTIF($K$8:K47, K47)=1, Table13[[#This Row],[Cutadapt_Metrics_Total_Reads]], 0)</f>
        <v>0</v>
      </c>
      <c r="T47" s="2">
        <f>(Table13[[#This Row],[Cutadapt_Metrics_Total_Reads]]/Table13[[#This Row],[Reads count]])*100</f>
        <v>15.614236509758896</v>
      </c>
      <c r="U47" t="s">
        <v>78</v>
      </c>
      <c r="V47" t="str">
        <f>Table13[[#This Row],[Amplicon_consensus]] &amp; "_Run" &amp; A47 &amp; "_Barcode" &amp; C47 &amp; "_" &amp; Table13[[#This Row],[Host]] &amp; "_" &amp; Table13[[#This Row],[Primers]]</f>
        <v>&gt;consensus_cl_id_3_total_supporting_reads_56_Run1_Barcode3_Galleria mellonella_Am</v>
      </c>
      <c r="W47">
        <v>56</v>
      </c>
      <c r="X47" s="17">
        <f>(Table13[[#This Row],[Supported_by_x_reads]]/Table13[[#This Row],[Cutadapt_Metrics_Total_Reads]])*100</f>
        <v>41.17647058823529</v>
      </c>
      <c r="Y47" t="s">
        <v>79</v>
      </c>
      <c r="Z47">
        <f>LEN(Table13[[#This Row],[Sequence]])</f>
        <v>388</v>
      </c>
      <c r="AA47" t="s">
        <v>431</v>
      </c>
      <c r="AB47" t="s">
        <v>432</v>
      </c>
      <c r="AC47">
        <v>85</v>
      </c>
      <c r="AD47">
        <v>96.7</v>
      </c>
      <c r="AE47" t="s">
        <v>430</v>
      </c>
      <c r="AF47" t="s">
        <v>54</v>
      </c>
      <c r="AG47" t="s">
        <v>54</v>
      </c>
      <c r="AH47" t="s">
        <v>31</v>
      </c>
    </row>
    <row r="48" spans="1:36" ht="14.5" x14ac:dyDescent="0.35">
      <c r="A48" s="22">
        <v>1</v>
      </c>
      <c r="B48" s="15">
        <v>44686</v>
      </c>
      <c r="C48">
        <v>4</v>
      </c>
      <c r="D48" t="str">
        <f>Table13[[#This Row],[Nanopore_Run]] &amp; "_" &amp; Table13[[#This Row],[Barcode_ID]]</f>
        <v>1_4</v>
      </c>
      <c r="E48">
        <v>2193</v>
      </c>
      <c r="F48">
        <f>IF(COUNTIF($D$8:D48, D48)=1, Table13[[#This Row],[Reads count]], 0)</f>
        <v>2193</v>
      </c>
      <c r="G48" s="16">
        <v>88.547206475148656</v>
      </c>
      <c r="H48" t="s">
        <v>157</v>
      </c>
      <c r="I48" t="s">
        <v>158</v>
      </c>
      <c r="J48" t="s">
        <v>75</v>
      </c>
      <c r="K48" t="str">
        <f t="shared" si="1"/>
        <v>1_4_Am</v>
      </c>
      <c r="L48">
        <v>3</v>
      </c>
      <c r="M48" t="s">
        <v>259</v>
      </c>
      <c r="N48" t="s">
        <v>76</v>
      </c>
      <c r="O48" t="s">
        <v>77</v>
      </c>
      <c r="P48" s="14">
        <v>400</v>
      </c>
      <c r="Q48" s="1" t="s">
        <v>37</v>
      </c>
      <c r="R48">
        <v>715</v>
      </c>
      <c r="S48">
        <f>IF(COUNTIF($K$8:K48, K48)=1, Table13[[#This Row],[Cutadapt_Metrics_Total_Reads]], 0)</f>
        <v>715</v>
      </c>
      <c r="T48" s="2">
        <f>(Table13[[#This Row],[Cutadapt_Metrics_Total_Reads]]/Table13[[#This Row],[Reads count]])*100</f>
        <v>32.603739170086641</v>
      </c>
      <c r="U48" t="s">
        <v>433</v>
      </c>
      <c r="V48" t="str">
        <f>Table13[[#This Row],[Amplicon_consensus]] &amp; "_Run" &amp; A48 &amp; "_Barcode" &amp; C48 &amp; "_" &amp; Table13[[#This Row],[Host]] &amp; "_" &amp; Table13[[#This Row],[Primers]]</f>
        <v>&gt;consensus_cl_id_18_total_supporting_reads_70_Run1_Barcode4_Schistocerca gregaria_Am</v>
      </c>
      <c r="W48">
        <v>70</v>
      </c>
      <c r="X48" s="17">
        <f>(Table13[[#This Row],[Supported_by_x_reads]]/Table13[[#This Row],[Cutadapt_Metrics_Total_Reads]])*100</f>
        <v>9.79020979020979</v>
      </c>
      <c r="Y48" t="s">
        <v>434</v>
      </c>
      <c r="Z48">
        <f>LEN(Table13[[#This Row],[Sequence]])</f>
        <v>522</v>
      </c>
      <c r="AA48" t="s">
        <v>64</v>
      </c>
      <c r="AB48" t="s">
        <v>371</v>
      </c>
      <c r="AC48">
        <v>67</v>
      </c>
      <c r="AD48">
        <v>99.4</v>
      </c>
      <c r="AE48" t="s">
        <v>430</v>
      </c>
      <c r="AF48" t="s">
        <v>54</v>
      </c>
      <c r="AG48" t="s">
        <v>31</v>
      </c>
      <c r="AH48" t="s">
        <v>31</v>
      </c>
    </row>
    <row r="49" spans="1:36" ht="14.5" x14ac:dyDescent="0.35">
      <c r="A49" s="22">
        <v>1</v>
      </c>
      <c r="B49" s="15">
        <v>44686</v>
      </c>
      <c r="C49">
        <v>4</v>
      </c>
      <c r="D49" t="str">
        <f>Table13[[#This Row],[Nanopore_Run]] &amp; "_" &amp; Table13[[#This Row],[Barcode_ID]]</f>
        <v>1_4</v>
      </c>
      <c r="E49">
        <v>2193</v>
      </c>
      <c r="F49">
        <f>IF(COUNTIF($D$8:D49, D49)=1, Table13[[#This Row],[Reads count]], 0)</f>
        <v>0</v>
      </c>
      <c r="G49" s="16">
        <v>88.547206475148656</v>
      </c>
      <c r="H49" t="s">
        <v>157</v>
      </c>
      <c r="I49" t="s">
        <v>158</v>
      </c>
      <c r="J49" t="s">
        <v>75</v>
      </c>
      <c r="K49" t="str">
        <f t="shared" si="1"/>
        <v>1_4_Am</v>
      </c>
      <c r="L49">
        <v>3</v>
      </c>
      <c r="M49" t="s">
        <v>259</v>
      </c>
      <c r="N49" t="s">
        <v>76</v>
      </c>
      <c r="O49" t="s">
        <v>77</v>
      </c>
      <c r="P49" s="14">
        <v>400</v>
      </c>
      <c r="Q49" s="1" t="s">
        <v>37</v>
      </c>
      <c r="R49">
        <v>715</v>
      </c>
      <c r="S49">
        <f>IF(COUNTIF($K$8:K49, K49)=1, Table13[[#This Row],[Cutadapt_Metrics_Total_Reads]], 0)</f>
        <v>0</v>
      </c>
      <c r="T49" s="2">
        <f>(Table13[[#This Row],[Cutadapt_Metrics_Total_Reads]]/Table13[[#This Row],[Reads count]])*100</f>
        <v>32.603739170086641</v>
      </c>
      <c r="U49" t="s">
        <v>435</v>
      </c>
      <c r="V49" t="str">
        <f>Table13[[#This Row],[Amplicon_consensus]] &amp; "_Run" &amp; A49 &amp; "_Barcode" &amp; C49 &amp; "_" &amp; Table13[[#This Row],[Host]] &amp; "_" &amp; Table13[[#This Row],[Primers]]</f>
        <v>&gt;consensus_cl_id_25_total_supporting_reads_39_Run1_Barcode4_Schistocerca gregaria_Am</v>
      </c>
      <c r="W49">
        <v>39</v>
      </c>
      <c r="X49" s="17">
        <f>(Table13[[#This Row],[Supported_by_x_reads]]/Table13[[#This Row],[Cutadapt_Metrics_Total_Reads]])*100</f>
        <v>5.4545454545454541</v>
      </c>
      <c r="Y49" t="s">
        <v>437</v>
      </c>
      <c r="Z49">
        <f>LEN(Table13[[#This Row],[Sequence]])</f>
        <v>407</v>
      </c>
      <c r="AA49" t="s">
        <v>64</v>
      </c>
      <c r="AB49" t="s">
        <v>371</v>
      </c>
      <c r="AC49">
        <v>81</v>
      </c>
      <c r="AD49">
        <v>100</v>
      </c>
      <c r="AE49" t="s">
        <v>430</v>
      </c>
      <c r="AF49" t="s">
        <v>54</v>
      </c>
      <c r="AG49" t="s">
        <v>31</v>
      </c>
      <c r="AH49" t="s">
        <v>31</v>
      </c>
    </row>
    <row r="50" spans="1:36" ht="14.5" x14ac:dyDescent="0.35">
      <c r="A50" s="22">
        <v>1</v>
      </c>
      <c r="B50" s="15">
        <v>44686</v>
      </c>
      <c r="C50">
        <v>4</v>
      </c>
      <c r="D50" t="str">
        <f>Table13[[#This Row],[Nanopore_Run]] &amp; "_" &amp; Table13[[#This Row],[Barcode_ID]]</f>
        <v>1_4</v>
      </c>
      <c r="E50">
        <v>2193</v>
      </c>
      <c r="F50">
        <f>IF(COUNTIF($D$8:D50, D50)=1, Table13[[#This Row],[Reads count]], 0)</f>
        <v>0</v>
      </c>
      <c r="G50" s="16">
        <v>88.547206475148656</v>
      </c>
      <c r="H50" t="s">
        <v>157</v>
      </c>
      <c r="I50" t="s">
        <v>158</v>
      </c>
      <c r="J50" t="s">
        <v>75</v>
      </c>
      <c r="K50" t="str">
        <f t="shared" si="1"/>
        <v>1_4_Am</v>
      </c>
      <c r="L50">
        <v>3</v>
      </c>
      <c r="M50" t="s">
        <v>259</v>
      </c>
      <c r="N50" t="s">
        <v>76</v>
      </c>
      <c r="O50" t="s">
        <v>77</v>
      </c>
      <c r="P50" s="14">
        <v>400</v>
      </c>
      <c r="Q50" s="1" t="s">
        <v>37</v>
      </c>
      <c r="R50">
        <v>715</v>
      </c>
      <c r="S50">
        <f>IF(COUNTIF($K$8:K50, K50)=1, Table13[[#This Row],[Cutadapt_Metrics_Total_Reads]], 0)</f>
        <v>0</v>
      </c>
      <c r="T50" s="2">
        <f>(Table13[[#This Row],[Cutadapt_Metrics_Total_Reads]]/Table13[[#This Row],[Reads count]])*100</f>
        <v>32.603739170086641</v>
      </c>
      <c r="U50" t="s">
        <v>436</v>
      </c>
      <c r="V50" t="str">
        <f>Table13[[#This Row],[Amplicon_consensus]] &amp; "_Run" &amp; A50 &amp; "_Barcode" &amp; C50 &amp; "_" &amp; Table13[[#This Row],[Host]] &amp; "_" &amp; Table13[[#This Row],[Primers]]</f>
        <v>&gt;consensus_cl_id_47_total_supporting_reads_37_Run1_Barcode4_Schistocerca gregaria_Am</v>
      </c>
      <c r="W50">
        <v>37</v>
      </c>
      <c r="X50" s="17">
        <f>(Table13[[#This Row],[Supported_by_x_reads]]/Table13[[#This Row],[Cutadapt_Metrics_Total_Reads]])*100</f>
        <v>5.174825174825175</v>
      </c>
      <c r="Y50" t="s">
        <v>438</v>
      </c>
      <c r="Z50">
        <f>LEN(Table13[[#This Row],[Sequence]])</f>
        <v>441</v>
      </c>
      <c r="AA50" t="s">
        <v>64</v>
      </c>
      <c r="AB50" t="s">
        <v>371</v>
      </c>
      <c r="AC50">
        <v>74</v>
      </c>
      <c r="AD50">
        <v>98.8</v>
      </c>
      <c r="AE50" t="s">
        <v>430</v>
      </c>
      <c r="AF50" t="s">
        <v>54</v>
      </c>
      <c r="AG50" t="s">
        <v>31</v>
      </c>
      <c r="AH50" t="s">
        <v>31</v>
      </c>
    </row>
    <row r="51" spans="1:36" ht="14.5" customHeight="1" x14ac:dyDescent="0.35">
      <c r="A51" s="22">
        <v>1</v>
      </c>
      <c r="B51" s="15">
        <v>44686</v>
      </c>
      <c r="C51">
        <v>5</v>
      </c>
      <c r="D51" t="str">
        <f>Table13[[#This Row],[Nanopore_Run]] &amp; "_" &amp; Table13[[#This Row],[Barcode_ID]]</f>
        <v>1_5</v>
      </c>
      <c r="E51">
        <v>1368</v>
      </c>
      <c r="F51">
        <f>IF(COUNTIF($D$8:D51, D51)=1, Table13[[#This Row],[Reads count]], 0)</f>
        <v>1368</v>
      </c>
      <c r="G51" s="16">
        <v>87.730208333333579</v>
      </c>
      <c r="H51" t="s">
        <v>50</v>
      </c>
      <c r="I51" s="1" t="s">
        <v>51</v>
      </c>
      <c r="J51" t="s">
        <v>35</v>
      </c>
      <c r="K51" t="str">
        <f t="shared" si="1"/>
        <v>1_5_AmRC / iLSUr</v>
      </c>
      <c r="L51">
        <v>1</v>
      </c>
      <c r="M51" t="s">
        <v>26</v>
      </c>
      <c r="N51" t="s">
        <v>36</v>
      </c>
      <c r="O51" t="s">
        <v>28</v>
      </c>
      <c r="P51" s="14">
        <v>4200</v>
      </c>
      <c r="Q51" s="1" t="s">
        <v>37</v>
      </c>
      <c r="R51">
        <v>1</v>
      </c>
      <c r="S51">
        <f>IF(COUNTIF($K$8:K51, K51)=1, Table13[[#This Row],[Cutadapt_Metrics_Total_Reads]], 0)</f>
        <v>1</v>
      </c>
      <c r="T51" s="2">
        <f>(Table13[[#This Row],[Cutadapt_Metrics_Total_Reads]]/Table13[[#This Row],[Reads count]])*100</f>
        <v>7.3099415204678359E-2</v>
      </c>
      <c r="U51" t="s">
        <v>43</v>
      </c>
      <c r="V51" t="str">
        <f>Table13[[#This Row],[Amplicon_consensus]] &amp; "_Run" &amp; A51 &amp; "_Barcode" &amp; C51 &amp; "_" &amp; Table13[[#This Row],[Host]] &amp; "_" &amp; Table13[[#This Row],[Primers]]</f>
        <v>&gt;consensus_cl_id_0_total_supporting_reads_1_Run1_Barcode5_Gryllus assimilis_AmRC / iLSUr</v>
      </c>
      <c r="W51">
        <v>1</v>
      </c>
      <c r="X51" s="17">
        <f>(Table13[[#This Row],[Supported_by_x_reads]]/Table13[[#This Row],[Cutadapt_Metrics_Total_Reads]])*100</f>
        <v>100</v>
      </c>
      <c r="Y51" t="s">
        <v>144</v>
      </c>
      <c r="Z51">
        <f>LEN(Table13[[#This Row],[Sequence]])</f>
        <v>4354</v>
      </c>
      <c r="AA51" t="s">
        <v>145</v>
      </c>
      <c r="AB51" t="s">
        <v>439</v>
      </c>
      <c r="AC51">
        <v>55</v>
      </c>
      <c r="AD51">
        <v>92.7</v>
      </c>
      <c r="AE51" t="s">
        <v>109</v>
      </c>
      <c r="AF51" t="s">
        <v>54</v>
      </c>
      <c r="AG51" t="s">
        <v>31</v>
      </c>
      <c r="AH51" t="s">
        <v>31</v>
      </c>
    </row>
    <row r="52" spans="1:36" ht="14.5" customHeight="1" x14ac:dyDescent="0.35">
      <c r="A52" s="22">
        <v>1</v>
      </c>
      <c r="B52" s="15">
        <v>44686</v>
      </c>
      <c r="C52">
        <v>5</v>
      </c>
      <c r="D52" t="str">
        <f>Table13[[#This Row],[Nanopore_Run]] &amp; "_" &amp; Table13[[#This Row],[Barcode_ID]]</f>
        <v>1_5</v>
      </c>
      <c r="E52">
        <v>1368</v>
      </c>
      <c r="F52">
        <f>IF(COUNTIF($D$8:D52, D52)=1, Table13[[#This Row],[Reads count]], 0)</f>
        <v>0</v>
      </c>
      <c r="G52" s="16">
        <v>87.730208333333579</v>
      </c>
      <c r="H52" t="s">
        <v>50</v>
      </c>
      <c r="I52" s="1" t="s">
        <v>51</v>
      </c>
      <c r="J52" t="s">
        <v>440</v>
      </c>
      <c r="K52" t="str">
        <f t="shared" si="1"/>
        <v>1_5_KinetF / KinetR</v>
      </c>
      <c r="L52">
        <v>4</v>
      </c>
      <c r="M52" t="s">
        <v>259</v>
      </c>
      <c r="N52" t="s">
        <v>71</v>
      </c>
      <c r="O52" t="s">
        <v>72</v>
      </c>
      <c r="P52" s="14">
        <v>5000</v>
      </c>
      <c r="Q52" s="1" t="s">
        <v>257</v>
      </c>
      <c r="R52">
        <v>27</v>
      </c>
      <c r="S52">
        <f>IF(COUNTIF($K$8:K52, K52)=1, Table13[[#This Row],[Cutadapt_Metrics_Total_Reads]], 0)</f>
        <v>27</v>
      </c>
      <c r="T52" s="2">
        <f>(Table13[[#This Row],[Cutadapt_Metrics_Total_Reads]]/Table13[[#This Row],[Reads count]])*100</f>
        <v>1.9736842105263157</v>
      </c>
      <c r="U52" t="s">
        <v>52</v>
      </c>
      <c r="V52" t="str">
        <f>Table13[[#This Row],[Amplicon_consensus]] &amp; "_Run" &amp; A52 &amp; "_Barcode" &amp; C52 &amp; "_" &amp; Table13[[#This Row],[Host]] &amp; "_" &amp; Table13[[#This Row],[Primers]]</f>
        <v>&gt;consensus_cl_id_0_total_supporting_reads_6_Run1_Barcode5_Gryllus assimilis_KinetF / KinetR</v>
      </c>
      <c r="W52">
        <v>6</v>
      </c>
      <c r="X52" s="17">
        <f>(Table13[[#This Row],[Supported_by_x_reads]]/Table13[[#This Row],[Cutadapt_Metrics_Total_Reads]])*100</f>
        <v>22.222222222222221</v>
      </c>
      <c r="Y52" t="s">
        <v>441</v>
      </c>
      <c r="Z52">
        <f>LEN(Table13[[#This Row],[Sequence]])</f>
        <v>2173</v>
      </c>
      <c r="AA52" t="s">
        <v>393</v>
      </c>
      <c r="AB52" t="s">
        <v>392</v>
      </c>
      <c r="AC52">
        <v>97</v>
      </c>
      <c r="AD52">
        <v>99.5</v>
      </c>
      <c r="AE52" t="s">
        <v>67</v>
      </c>
      <c r="AG52" t="s">
        <v>32</v>
      </c>
      <c r="AH52" t="str" cm="1">
        <f t="array" ref="AH52">ReverseComplement(Table13[[#This Row],[Sequence]])</f>
        <v>GAATTGACGGAAGGGCACCACCAGGAGTGGAGCCTGCGGCTTAATTTGACTCCAACACGGGGAAACTCACCAGGTCCAGACACAATAAGGATTGCTGACAGATTGAGAGCTCTTTCTGATTTTGTGGGTGGTGGTGCATGGCCGTTCTTAGTTGGTGGAGTGATTTGTCTGCTTAATTGCGATAACGAACGAGACCTTAACCTACTAAATAGTGCTGCTAGCTTTTGCTGGCATAGTCACTTAGAGGGATTTTATCGATTTCAGTCGATGGAAGTTTGAGGCAATAACAGTCTGTGATGCCCTTAGACATCTGGCTGCCAGTAGTCATATGCTTGTTTCAAAGATTAAGCCATGCATGTCTAAGTATAAGCAATTTATACAGTGAAACTGCGAATGGCTCATTAAATCAGTTATCGTTTATTTGATAGTACCTTTACTACTTGGATAACCGTGGTAATTCTAGAGCTAATACATGCTAAAAATCCCGACTGTTTGGAAGGGATGTATTTATTAGATAAAAAATCAATGCTTTTCGGAGCTCTTTGATGATTCATAATAACTTTTCGAATCGCATGGCCTTGTGCTGGCGATGGTTCATTCAAATTTCTGCCCTATCAACTTTCGATGGTAGGATAGTGGCCTACCATGGTTTCAACGGGTAACGGGGAATAAGGGTTCGATTCCGGAGAGGAGCCTGAGAAACGGCTACCACATCCAAGGAAGGCAGCAGGCGCGCAAATTACCCAATCCCGACACGGGGAGGTAGTGACAATAAATAACGATACAGGGCCCTTTCGGGTCTTGTAATTGGAATGAGTACAATGTAAATACCTTAACGAGGAACAATTGGAGGGCAAGTCTGGTGCCAGCAGCCGCGGTAATTCCAGCTCCAATAGCGTATATTAAAGTTGTTGCAGTTAAAAAGCTCGTAGTTGAACCTTGGGCTTGGTTGGCCGGTCCGCCTTTTTGGCGAGTACTGGACCCAACCGAGCCTTTCCTTCTGGCTAACCTTTCGCCCTTGTGGTGTTTGGCGAACCAGGACTTTTACTTTGAAAAATTAGAGTGTTCAAAGCAGGCCTTTGCTCGAATATATTAGCATGGAATAATAGAATAGGACGTTATGGTTCTATTTTGTTGGTTTCTAGGACCATCGTAATGATTAATAGGGACGGTCGGGGGCATCAGTATTCAGTTGTCAGAGGTGAAATTCTTGGATTACCTGAAGACTAACTACTGCGAAAGCATTTGCCAAGGACGTTTTCATTAATCAAGAACGAAAGTTAGGGATCGAAGATGATCAGATACCGTCGTAGTCTTAACCATAAACTATGCCGACTAGGGATCGGGTGTTGTTCTTTTTTTGACGCACTCGGCACCTTACGAGAAATCAAAGTCTTTGGGTTCTGGGGGGAGTATGGTCGCAAGGCTGAAACTTAAAGGAATTGACGGAAGGGCACCACCAGGAGTGGAGCCTGCGGCTTAATTTGACTCAACACGGGGAAACTCACCAGGTCCAGACACAATAAGGATTGACAGATTGAGAGCTCTTTCTTGATTTTGTGGGTGGTGGTGCATGGCCGTTCTTAGTTGGTGGAGTGATTTGTCTGCTTAATTGCGATAACGAACGAGACCTTAACCTACTAAATAGTGCTGCTAGCTTTTGCTGGTATAGTCACTTCTTAGAGGGACTATCGATTTCAAGTCGATGGAAGTTTGAGGCAATAACAGGTCTGTGATGCCCTTAGACGTTCTGGGCCGCACGCGCGCTACACTGACGGAGCCAACGAGTATTAACCTTGGCCGAGAGGTCTGGGAAATCTTGTGAAACTCCGTCGTGCTGGGGATAGAGCACTGTAATTATTGCTCTTCAACGAGGAATTCCTAGTAAGCGCAAGTCATCAGCTTGCGTTGATTACGTCCCTGCCCTTTGTACACACCGCCCGTCGCTACTACCGATTGAATGGCTTAGTGAGGCCTCCGGATTGGTTTAAAGAAGGGGCAACTCCATCTTGGAACCGAAAAGCTGGTCAAACTTGGTCATTTAGAGGAAGTAAAAGTCGTAACAAGGTTTCCGTAGGTGAACCTGCAGAAGGATCAGGTGCTGCTTGTCCAGGGTTTGTGTAACCTTTTAACCTTAGCAATACGTAACTGAACGAAGTACAATGGGCTACCG</v>
      </c>
    </row>
    <row r="53" spans="1:36" ht="14.5" customHeight="1" x14ac:dyDescent="0.35">
      <c r="A53" s="22">
        <v>1</v>
      </c>
      <c r="B53" s="15">
        <v>44686</v>
      </c>
      <c r="C53">
        <v>5</v>
      </c>
      <c r="D53" t="str">
        <f>Table13[[#This Row],[Nanopore_Run]] &amp; "_" &amp; Table13[[#This Row],[Barcode_ID]]</f>
        <v>1_5</v>
      </c>
      <c r="E53">
        <v>1368</v>
      </c>
      <c r="F53">
        <f>IF(COUNTIF($D$8:D53, D53)=1, Table13[[#This Row],[Reads count]], 0)</f>
        <v>0</v>
      </c>
      <c r="G53" s="16">
        <v>87.730208333333579</v>
      </c>
      <c r="H53" t="s">
        <v>50</v>
      </c>
      <c r="I53" s="1" t="s">
        <v>51</v>
      </c>
      <c r="J53" t="s">
        <v>440</v>
      </c>
      <c r="K53" t="str">
        <f t="shared" si="1"/>
        <v>1_5_KinetF / KinetR</v>
      </c>
      <c r="L53">
        <v>4</v>
      </c>
      <c r="M53" t="s">
        <v>259</v>
      </c>
      <c r="N53" t="s">
        <v>71</v>
      </c>
      <c r="O53" t="s">
        <v>72</v>
      </c>
      <c r="P53" s="14">
        <v>5000</v>
      </c>
      <c r="Q53" s="1" t="s">
        <v>257</v>
      </c>
      <c r="R53">
        <v>27</v>
      </c>
      <c r="S53">
        <f>IF(COUNTIF($K$8:K53, K53)=1, Table13[[#This Row],[Cutadapt_Metrics_Total_Reads]], 0)</f>
        <v>0</v>
      </c>
      <c r="T53" s="2">
        <f>(Table13[[#This Row],[Cutadapt_Metrics_Total_Reads]]/Table13[[#This Row],[Reads count]])*100</f>
        <v>1.9736842105263157</v>
      </c>
      <c r="U53" t="s">
        <v>442</v>
      </c>
      <c r="V53" t="str">
        <f>Table13[[#This Row],[Amplicon_consensus]] &amp; "_Run" &amp; A53 &amp; "_Barcode" &amp; C53 &amp; "_" &amp; Table13[[#This Row],[Host]] &amp; "_" &amp; Table13[[#This Row],[Primers]]</f>
        <v>&gt;consensus_cl_id_12_total_supporting_reads_8_Run1_Barcode5_Gryllus assimilis_KinetF / KinetR</v>
      </c>
      <c r="W53">
        <v>8</v>
      </c>
      <c r="X53" s="17">
        <f>(Table13[[#This Row],[Supported_by_x_reads]]/Table13[[#This Row],[Cutadapt_Metrics_Total_Reads]])*100</f>
        <v>29.629629629629626</v>
      </c>
      <c r="Y53" t="s">
        <v>443</v>
      </c>
      <c r="Z53">
        <f>LEN(Table13[[#This Row],[Sequence]])</f>
        <v>1855</v>
      </c>
      <c r="AA53" t="s">
        <v>393</v>
      </c>
      <c r="AB53" t="s">
        <v>392</v>
      </c>
      <c r="AC53">
        <v>94</v>
      </c>
      <c r="AD53">
        <v>95.2</v>
      </c>
      <c r="AE53" t="s">
        <v>67</v>
      </c>
      <c r="AF53" t="s">
        <v>54</v>
      </c>
      <c r="AG53" t="s">
        <v>31</v>
      </c>
      <c r="AH53" t="s">
        <v>31</v>
      </c>
    </row>
    <row r="54" spans="1:36" ht="14.5" customHeight="1" x14ac:dyDescent="0.35">
      <c r="A54" s="22">
        <v>1</v>
      </c>
      <c r="B54" s="15">
        <v>44686</v>
      </c>
      <c r="C54">
        <v>5</v>
      </c>
      <c r="D54" t="str">
        <f>Table13[[#This Row],[Nanopore_Run]] &amp; "_" &amp; Table13[[#This Row],[Barcode_ID]]</f>
        <v>1_5</v>
      </c>
      <c r="E54">
        <v>1368</v>
      </c>
      <c r="F54">
        <f>IF(COUNTIF($D$8:D54, D54)=1, Table13[[#This Row],[Reads count]], 0)</f>
        <v>0</v>
      </c>
      <c r="G54" s="16">
        <v>87.730208333333579</v>
      </c>
      <c r="H54" t="s">
        <v>50</v>
      </c>
      <c r="I54" s="1" t="s">
        <v>51</v>
      </c>
      <c r="J54" t="s">
        <v>440</v>
      </c>
      <c r="K54" t="str">
        <f t="shared" si="1"/>
        <v>1_5_KinetF / KinetR</v>
      </c>
      <c r="L54">
        <v>4</v>
      </c>
      <c r="M54" t="s">
        <v>259</v>
      </c>
      <c r="N54" t="s">
        <v>71</v>
      </c>
      <c r="O54" t="s">
        <v>72</v>
      </c>
      <c r="P54" s="14">
        <v>5000</v>
      </c>
      <c r="Q54" s="1" t="s">
        <v>257</v>
      </c>
      <c r="R54">
        <v>27</v>
      </c>
      <c r="S54">
        <f>IF(COUNTIF($K$8:K54, K54)=1, Table13[[#This Row],[Cutadapt_Metrics_Total_Reads]], 0)</f>
        <v>0</v>
      </c>
      <c r="T54" s="2">
        <f>(Table13[[#This Row],[Cutadapt_Metrics_Total_Reads]]/Table13[[#This Row],[Reads count]])*100</f>
        <v>1.9736842105263157</v>
      </c>
      <c r="U54" t="s">
        <v>150</v>
      </c>
      <c r="V54" t="str">
        <f>Table13[[#This Row],[Amplicon_consensus]] &amp; "_Run" &amp; A54 &amp; "_Barcode" &amp; C54 &amp; "_" &amp; Table13[[#This Row],[Host]] &amp; "_" &amp; Table13[[#This Row],[Primers]]</f>
        <v>&gt;consensus_cl_id_1_total_supporting_reads_9_Run1_Barcode5_Gryllus assimilis_KinetF / KinetR</v>
      </c>
      <c r="W54">
        <v>9</v>
      </c>
      <c r="X54" s="17">
        <f>(Table13[[#This Row],[Supported_by_x_reads]]/Table13[[#This Row],[Cutadapt_Metrics_Total_Reads]])*100</f>
        <v>33.333333333333329</v>
      </c>
      <c r="Y54" t="s">
        <v>151</v>
      </c>
      <c r="Z54">
        <f>LEN(Table13[[#This Row],[Sequence]])</f>
        <v>2167</v>
      </c>
      <c r="AA54" t="s">
        <v>66</v>
      </c>
      <c r="AB54" t="s">
        <v>383</v>
      </c>
      <c r="AC54">
        <v>91</v>
      </c>
      <c r="AD54">
        <v>99.7</v>
      </c>
      <c r="AE54" t="s">
        <v>67</v>
      </c>
      <c r="AF54" t="s">
        <v>54</v>
      </c>
      <c r="AG54" t="s">
        <v>31</v>
      </c>
      <c r="AH54" t="s">
        <v>31</v>
      </c>
    </row>
    <row r="55" spans="1:36" ht="14.5" x14ac:dyDescent="0.35">
      <c r="A55" s="22">
        <v>1</v>
      </c>
      <c r="B55" s="15">
        <v>44686</v>
      </c>
      <c r="C55">
        <v>5</v>
      </c>
      <c r="D55" t="str">
        <f>Table13[[#This Row],[Nanopore_Run]] &amp; "_" &amp; Table13[[#This Row],[Barcode_ID]]</f>
        <v>1_5</v>
      </c>
      <c r="E55">
        <v>1368</v>
      </c>
      <c r="F55">
        <f>IF(COUNTIF($D$8:D55, D55)=1, Table13[[#This Row],[Reads count]], 0)</f>
        <v>0</v>
      </c>
      <c r="G55" s="16">
        <v>87.730208333333579</v>
      </c>
      <c r="H55" t="s">
        <v>50</v>
      </c>
      <c r="I55" s="1" t="s">
        <v>51</v>
      </c>
      <c r="J55" t="s">
        <v>440</v>
      </c>
      <c r="K55" t="str">
        <f t="shared" si="1"/>
        <v>1_5_KinetF / KinetR</v>
      </c>
      <c r="L55">
        <v>4</v>
      </c>
      <c r="M55" t="s">
        <v>259</v>
      </c>
      <c r="N55" t="s">
        <v>71</v>
      </c>
      <c r="O55" t="s">
        <v>72</v>
      </c>
      <c r="P55" s="14">
        <v>5000</v>
      </c>
      <c r="Q55" s="1" t="s">
        <v>257</v>
      </c>
      <c r="R55">
        <v>27</v>
      </c>
      <c r="S55">
        <f>IF(COUNTIF($K$8:K55, K55)=1, Table13[[#This Row],[Cutadapt_Metrics_Total_Reads]], 0)</f>
        <v>0</v>
      </c>
      <c r="T55" s="2">
        <f>(Table13[[#This Row],[Cutadapt_Metrics_Total_Reads]]/Table13[[#This Row],[Reads count]])*100</f>
        <v>1.9736842105263157</v>
      </c>
      <c r="U55" t="s">
        <v>444</v>
      </c>
      <c r="V55" t="str">
        <f>Table13[[#This Row],[Amplicon_consensus]] &amp; "_Run" &amp; A55 &amp; "_Barcode" &amp; C55 &amp; "_" &amp; Table13[[#This Row],[Host]] &amp; "_" &amp; Table13[[#This Row],[Primers]]</f>
        <v>&gt;consensus_cl_id_21_total_supporting_reads_2_Run1_Barcode5_Gryllus assimilis_KinetF / KinetR</v>
      </c>
      <c r="W55">
        <v>2</v>
      </c>
      <c r="X55" s="17">
        <f>(Table13[[#This Row],[Supported_by_x_reads]]/Table13[[#This Row],[Cutadapt_Metrics_Total_Reads]])*100</f>
        <v>7.4074074074074066</v>
      </c>
      <c r="Y55" t="s">
        <v>445</v>
      </c>
      <c r="Z55">
        <f>LEN(Table13[[#This Row],[Sequence]])</f>
        <v>1987</v>
      </c>
      <c r="AA55" t="s">
        <v>266</v>
      </c>
      <c r="AB55" t="s">
        <v>290</v>
      </c>
      <c r="AC55">
        <v>85</v>
      </c>
      <c r="AD55">
        <v>90.2</v>
      </c>
      <c r="AE55" t="s">
        <v>47</v>
      </c>
      <c r="AF55" t="s">
        <v>32</v>
      </c>
      <c r="AG55" t="s">
        <v>54</v>
      </c>
      <c r="AH55" t="s">
        <v>31</v>
      </c>
    </row>
    <row r="56" spans="1:36" ht="14.5" x14ac:dyDescent="0.35">
      <c r="A56" s="22">
        <v>1</v>
      </c>
      <c r="B56" s="15">
        <v>44686</v>
      </c>
      <c r="C56">
        <v>5</v>
      </c>
      <c r="D56" t="str">
        <f>Table13[[#This Row],[Nanopore_Run]] &amp; "_" &amp; Table13[[#This Row],[Barcode_ID]]</f>
        <v>1_5</v>
      </c>
      <c r="E56">
        <v>1368</v>
      </c>
      <c r="F56">
        <f>IF(COUNTIF($D$8:D56, D56)=1, Table13[[#This Row],[Reads count]], 0)</f>
        <v>0</v>
      </c>
      <c r="G56" s="16">
        <v>87.730208333333579</v>
      </c>
      <c r="H56" t="s">
        <v>50</v>
      </c>
      <c r="I56" s="1" t="s">
        <v>51</v>
      </c>
      <c r="J56" t="s">
        <v>48</v>
      </c>
      <c r="K56" t="str">
        <f t="shared" si="1"/>
        <v>1_5_KinetRC / iLSUr</v>
      </c>
      <c r="L56">
        <v>2</v>
      </c>
      <c r="M56" t="s">
        <v>26</v>
      </c>
      <c r="N56" t="s">
        <v>49</v>
      </c>
      <c r="O56" t="s">
        <v>28</v>
      </c>
      <c r="P56" s="14">
        <v>2000</v>
      </c>
      <c r="Q56" s="1" t="s">
        <v>257</v>
      </c>
      <c r="R56">
        <v>5</v>
      </c>
      <c r="S56">
        <f>IF(COUNTIF($K$8:K56, K56)=1, Table13[[#This Row],[Cutadapt_Metrics_Total_Reads]], 0)</f>
        <v>5</v>
      </c>
      <c r="T56" s="2">
        <f>(Table13[[#This Row],[Cutadapt_Metrics_Total_Reads]]/Table13[[#This Row],[Reads count]])*100</f>
        <v>0.36549707602339176</v>
      </c>
      <c r="U56" t="s">
        <v>68</v>
      </c>
      <c r="V56" t="str">
        <f>Table13[[#This Row],[Amplicon_consensus]] &amp; "_Run" &amp; A56 &amp; "_Barcode" &amp; C56 &amp; "_" &amp; Table13[[#This Row],[Host]] &amp; "_" &amp; Table13[[#This Row],[Primers]]</f>
        <v>&gt;consensus_cl_id_0_total_supporting_reads_2_Run1_Barcode5_Gryllus assimilis_KinetRC / iLSUr</v>
      </c>
      <c r="W56">
        <v>2</v>
      </c>
      <c r="X56" s="17">
        <f>(Table13[[#This Row],[Supported_by_x_reads]]/Table13[[#This Row],[Cutadapt_Metrics_Total_Reads]])*100</f>
        <v>40</v>
      </c>
      <c r="Y56" t="s">
        <v>446</v>
      </c>
      <c r="Z56">
        <f>LEN(Table13[[#This Row],[Sequence]])</f>
        <v>4968</v>
      </c>
      <c r="AA56" t="s">
        <v>366</v>
      </c>
      <c r="AB56" t="s">
        <v>365</v>
      </c>
      <c r="AC56">
        <v>45</v>
      </c>
      <c r="AD56">
        <v>93.8</v>
      </c>
      <c r="AE56" t="s">
        <v>47</v>
      </c>
      <c r="AF56" t="s">
        <v>32</v>
      </c>
      <c r="AG56" t="s">
        <v>54</v>
      </c>
      <c r="AH56" t="s">
        <v>31</v>
      </c>
    </row>
    <row r="57" spans="1:36" ht="14.5" x14ac:dyDescent="0.35">
      <c r="A57" s="22">
        <v>1</v>
      </c>
      <c r="B57" s="15">
        <v>44686</v>
      </c>
      <c r="C57">
        <v>5</v>
      </c>
      <c r="D57" t="str">
        <f>Table13[[#This Row],[Nanopore_Run]] &amp; "_" &amp; Table13[[#This Row],[Barcode_ID]]</f>
        <v>1_5</v>
      </c>
      <c r="E57">
        <v>1368</v>
      </c>
      <c r="F57">
        <f>IF(COUNTIF($D$8:D57, D57)=1, Table13[[#This Row],[Reads count]], 0)</f>
        <v>0</v>
      </c>
      <c r="G57" s="16">
        <v>87.730208333333579</v>
      </c>
      <c r="H57" t="s">
        <v>50</v>
      </c>
      <c r="I57" s="1" t="s">
        <v>51</v>
      </c>
      <c r="J57" t="s">
        <v>48</v>
      </c>
      <c r="K57" t="str">
        <f t="shared" si="1"/>
        <v>1_5_KinetRC / iLSUr</v>
      </c>
      <c r="L57">
        <v>2</v>
      </c>
      <c r="M57" t="s">
        <v>26</v>
      </c>
      <c r="N57" t="s">
        <v>49</v>
      </c>
      <c r="O57" t="s">
        <v>28</v>
      </c>
      <c r="P57" s="14">
        <v>2000</v>
      </c>
      <c r="Q57" s="1" t="s">
        <v>257</v>
      </c>
      <c r="R57">
        <v>5</v>
      </c>
      <c r="S57">
        <f>IF(COUNTIF($K$8:K57, K57)=1, Table13[[#This Row],[Cutadapt_Metrics_Total_Reads]], 0)</f>
        <v>0</v>
      </c>
      <c r="T57" s="2">
        <f>(Table13[[#This Row],[Cutadapt_Metrics_Total_Reads]]/Table13[[#This Row],[Reads count]])*100</f>
        <v>0.36549707602339176</v>
      </c>
      <c r="U57" t="s">
        <v>146</v>
      </c>
      <c r="V57" t="str">
        <f>Table13[[#This Row],[Amplicon_consensus]] &amp; "_Run" &amp; A57 &amp; "_Barcode" &amp; C57 &amp; "_" &amp; Table13[[#This Row],[Host]] &amp; "_" &amp; Table13[[#This Row],[Primers]]</f>
        <v>&gt;consensus_cl_id_1_total_supporting_reads_3_Run1_Barcode5_Gryllus assimilis_KinetRC / iLSUr</v>
      </c>
      <c r="W57">
        <v>3</v>
      </c>
      <c r="X57" s="17">
        <f>(Table13[[#This Row],[Supported_by_x_reads]]/Table13[[#This Row],[Cutadapt_Metrics_Total_Reads]])*100</f>
        <v>60</v>
      </c>
      <c r="Y57" t="s">
        <v>147</v>
      </c>
      <c r="Z57">
        <f>LEN(Table13[[#This Row],[Sequence]])</f>
        <v>5173</v>
      </c>
      <c r="AA57" t="s">
        <v>366</v>
      </c>
      <c r="AB57" t="s">
        <v>365</v>
      </c>
      <c r="AC57">
        <v>43</v>
      </c>
      <c r="AD57">
        <v>97.8</v>
      </c>
      <c r="AE57" t="s">
        <v>47</v>
      </c>
      <c r="AF57" t="s">
        <v>32</v>
      </c>
      <c r="AG57" t="s">
        <v>32</v>
      </c>
      <c r="AH57" t="s">
        <v>148</v>
      </c>
      <c r="AI57">
        <f>LEN(Table13[[#This Row],[Correct_seq_if_RC]])</f>
        <v>5173</v>
      </c>
      <c r="AJ57" t="str">
        <f>IF(Table13[[#This Row],[Column1]]=Table13[[#This Row],[Sequence_length]],"yes","no")</f>
        <v>yes</v>
      </c>
    </row>
    <row r="58" spans="1:36" ht="14.5" x14ac:dyDescent="0.35">
      <c r="A58" s="22">
        <v>1</v>
      </c>
      <c r="B58" s="15">
        <v>44686</v>
      </c>
      <c r="C58">
        <v>5</v>
      </c>
      <c r="D58" t="str">
        <f>Table13[[#This Row],[Nanopore_Run]] &amp; "_" &amp; Table13[[#This Row],[Barcode_ID]]</f>
        <v>1_5</v>
      </c>
      <c r="E58">
        <v>1368</v>
      </c>
      <c r="F58">
        <f>IF(COUNTIF($D$8:D58, D58)=1, Table13[[#This Row],[Reads count]], 0)</f>
        <v>0</v>
      </c>
      <c r="G58" s="16">
        <v>87.730208333333579</v>
      </c>
      <c r="H58" t="s">
        <v>50</v>
      </c>
      <c r="I58" s="1" t="s">
        <v>51</v>
      </c>
      <c r="J58" t="s">
        <v>25</v>
      </c>
      <c r="K58" t="str">
        <f t="shared" si="1"/>
        <v>1_5_GregRC / iLSUr</v>
      </c>
      <c r="L58">
        <v>4</v>
      </c>
      <c r="M58" t="s">
        <v>26</v>
      </c>
      <c r="N58" t="s">
        <v>27</v>
      </c>
      <c r="O58" t="s">
        <v>28</v>
      </c>
      <c r="P58" s="14">
        <v>3350</v>
      </c>
      <c r="Q58" s="1" t="s">
        <v>47</v>
      </c>
      <c r="R58">
        <v>20</v>
      </c>
      <c r="S58">
        <f>IF(COUNTIF($K$8:K58, K58)=1, Table13[[#This Row],[Cutadapt_Metrics_Total_Reads]], 0)</f>
        <v>20</v>
      </c>
      <c r="T58" s="2">
        <f>(Table13[[#This Row],[Cutadapt_Metrics_Total_Reads]]/Table13[[#This Row],[Reads count]])*100</f>
        <v>1.4619883040935671</v>
      </c>
      <c r="U58" t="s">
        <v>68</v>
      </c>
      <c r="V58" t="str">
        <f>Table13[[#This Row],[Amplicon_consensus]] &amp; "_Run" &amp; A58 &amp; "_Barcode" &amp; C58 &amp; "_" &amp; Table13[[#This Row],[Host]] &amp; "_" &amp; Table13[[#This Row],[Primers]]</f>
        <v>&gt;consensus_cl_id_0_total_supporting_reads_2_Run1_Barcode5_Gryllus assimilis_GregRC / iLSUr</v>
      </c>
      <c r="W58">
        <v>2</v>
      </c>
      <c r="X58" s="17">
        <f>(Table13[[#This Row],[Supported_by_x_reads]]/Table13[[#This Row],[Cutadapt_Metrics_Total_Reads]])*100</f>
        <v>10</v>
      </c>
      <c r="Y58" t="s">
        <v>448</v>
      </c>
      <c r="Z58">
        <f>LEN(Table13[[#This Row],[Sequence]])</f>
        <v>3475</v>
      </c>
      <c r="AA58" t="s">
        <v>366</v>
      </c>
      <c r="AB58" t="s">
        <v>365</v>
      </c>
      <c r="AC58">
        <v>36</v>
      </c>
      <c r="AD58">
        <v>83.2</v>
      </c>
      <c r="AE58" t="s">
        <v>47</v>
      </c>
      <c r="AF58" t="s">
        <v>32</v>
      </c>
      <c r="AG58" t="s">
        <v>54</v>
      </c>
      <c r="AH58" t="s">
        <v>31</v>
      </c>
    </row>
    <row r="59" spans="1:36" ht="14.5" x14ac:dyDescent="0.35">
      <c r="A59" s="22">
        <v>1</v>
      </c>
      <c r="B59" s="15">
        <v>44686</v>
      </c>
      <c r="C59">
        <v>5</v>
      </c>
      <c r="D59" t="str">
        <f>Table13[[#This Row],[Nanopore_Run]] &amp; "_" &amp; Table13[[#This Row],[Barcode_ID]]</f>
        <v>1_5</v>
      </c>
      <c r="E59">
        <v>1368</v>
      </c>
      <c r="F59">
        <f>IF(COUNTIF($D$8:D59, D59)=1, Table13[[#This Row],[Reads count]], 0)</f>
        <v>0</v>
      </c>
      <c r="G59" s="16">
        <v>87.730208333333579</v>
      </c>
      <c r="H59" t="s">
        <v>50</v>
      </c>
      <c r="I59" s="1" t="s">
        <v>51</v>
      </c>
      <c r="J59" t="s">
        <v>25</v>
      </c>
      <c r="K59" t="str">
        <f t="shared" si="1"/>
        <v>1_5_GregRC / iLSUr</v>
      </c>
      <c r="L59">
        <v>4</v>
      </c>
      <c r="M59" t="s">
        <v>26</v>
      </c>
      <c r="N59" t="s">
        <v>27</v>
      </c>
      <c r="O59" t="s">
        <v>28</v>
      </c>
      <c r="P59" s="14">
        <v>3350</v>
      </c>
      <c r="Q59" s="1" t="s">
        <v>47</v>
      </c>
      <c r="R59">
        <v>20</v>
      </c>
      <c r="S59">
        <f>IF(COUNTIF($K$8:K59, K59)=1, Table13[[#This Row],[Cutadapt_Metrics_Total_Reads]], 0)</f>
        <v>0</v>
      </c>
      <c r="T59" s="2">
        <f>(Table13[[#This Row],[Cutadapt_Metrics_Total_Reads]]/Table13[[#This Row],[Reads count]])*100</f>
        <v>1.4619883040935671</v>
      </c>
      <c r="U59" t="s">
        <v>449</v>
      </c>
      <c r="V59" t="str">
        <f>Table13[[#This Row],[Amplicon_consensus]] &amp; "_Run" &amp; A59 &amp; "_Barcode" &amp; C59 &amp; "_" &amp; Table13[[#This Row],[Host]] &amp; "_" &amp; Table13[[#This Row],[Primers]]</f>
        <v>&gt;consensus_cl_id_15_total_supporting_reads_2_Run1_Barcode5_Gryllus assimilis_GregRC / iLSUr</v>
      </c>
      <c r="W59">
        <v>2</v>
      </c>
      <c r="X59" s="17">
        <f>(Table13[[#This Row],[Supported_by_x_reads]]/Table13[[#This Row],[Cutadapt_Metrics_Total_Reads]])*100</f>
        <v>10</v>
      </c>
      <c r="Y59" t="s">
        <v>450</v>
      </c>
      <c r="Z59">
        <f>LEN(Table13[[#This Row],[Sequence]])</f>
        <v>3483</v>
      </c>
      <c r="AA59" t="s">
        <v>366</v>
      </c>
      <c r="AB59" t="s">
        <v>365</v>
      </c>
      <c r="AC59">
        <v>64</v>
      </c>
      <c r="AD59">
        <v>93.3</v>
      </c>
      <c r="AE59" t="s">
        <v>47</v>
      </c>
      <c r="AF59" t="s">
        <v>32</v>
      </c>
      <c r="AG59" t="s">
        <v>32</v>
      </c>
      <c r="AH59" t="str" cm="1">
        <f t="array" ref="AH59">ReverseComplement(Table13[[#This Row],[Sequence]])</f>
        <v>GTTACGTCCCTTAGATGGTCTGGCTGCACGCGGGCTACAATGACGGAGTCAGCGAGCTCTACCCTACTCCGTACGGAGTGGGAAATCTTGTGAAACTCCGTCGTGATAGGGATTGACCTTTGCAATTATGGGTCACGAACGAGGAATTCCTAGTAAGGACAAGTCATCACCTTGTGCTGATTACGTCCCTGCCCTTGTACACACCGCCCGTCACTTAAACCGATTGGATGATCCGGCAAATTGCTGGACTTACGCAGCTGCTTTGTTCTACATCGCTCTTCGCAGGAAATGTTGTGAGCCTTATCATCTAGAGGATGAAGAAGTCGTAACACGGTATCCGTAGGTGAACCTGCGGATGGATCATCCTGTTTAAACAACAACCAACCCAGCACTAATGTTAATACATGACGAAATCACGAAGGAAGAGAATAAACCCTCAGCCATGGATGACTCGACCCGCACACCGAGGAAGACGCAACAACCGCGATAAGCAGTATGACTTGCGAAATTTCGTGATTCACCAGATCTCTGAACGCAAAGGTACTTCTGGCCTCGGCCTGAAGTATGTTTGGCTCGGTATCGTATAGATTTCTCCAATCAATTTCGATTGAATGGATGACATACAGTGTCCTTTACGTCACTGGCTAAATGATGCTACCTGTAAGAACTCATACAGTGAAATGCTGAGGTAATTGGTAGGCTTCTCAAATCATGATCCGAGCTCAAGCAAGGCTACCCGCTGAATTTAAGTATATAATTAAGCGGAGGAAAAGAACCAACTGGGATTCCCGCAGTAGTGGCGAACGAAGTGGGAAGAGCCCGCGATGTTAATCCGTTTCTGACGGAGTTGTGCATCGAGGTTATAGCTATTGAGAAACTGGGAAGAAGATGCCTGGAAAGGCACGCCAGAGAAGGTGACAGCCCCATCTTATTCCAGCCATTCTCAAGTACAGCTTTAATCTAATGAGCCGCTCTTGGGAGTAGAGCGCAAAATGGGCGGTAACCTCCATCCACTGGCTAGATAACGGTGAGATCGAGGAAAACAAGTACCCGGTGGGAAAGTTGAAAAGCACTTCGAAAGGAGAGCAAAATACCTGAAATCGCTGAGGGGGAGCGGCTGTCCGTGACCCAATGTTTGAGAGATTTCTCTCATTACATTACCGACATCACTTCCGTATGTTATGACTTGCCGGCCGCTTCGGCTATAACTTTGTTCTTAACATCGAGAAGTGTGGTACGCCTTTGCAAGTTGTCGAGAGTGTACAGACGACCCGTCTTGAAACACGGACCAAGGAGTTAAACGAAAGTGCGAGTGTAAGGGTGTCAAACCCAGACGCGTAGTGAAAGCAAAAGCTGTGAATTACAATGCAACAGCAGCCGACTCTGAAGTTCGAGCCTGAGCATTTTCGTTTAGACCCGAAAGATGGTGACCTATACCTGAGTTGGGTGAAACCGGGGAAACCCTGGTGGAAGCTCGTAGCGATACTGACGTGCAAATCGTTCGTCAAACTTGGGCAGAGGGGCGAAAGAGTAATCGAACCATCTACAGCTGGTTCCCTCCGAAGTTTCCCCAGGATAGCTGGAGTTGACGATCAGTTAGATCCGGTAAAGCGAGATTGAGGCTCCCGGGGCATCCCGCCCTCGACCTATTCTCAAACTTTGGGGGTTTGGTACCTTGCTAATTCAGTTAGCTCGGTAGATGAATGATACTTTTAGTGGGCCAGTTTTGCGCAGAACTGGCGATGAGGATGCTCCTAACGTTTGGTTAAGGCGCTCAACACCTCCCGCTGATCGACAATCACAAAGGTGTGTGGTTCATTAAAACAGCAGGGCGGGGTGGTCATGGAAGTTGAAATCCGCTAAGGACGTGTACTAACTCACCTGCCGAATGGACCAGCCCTGAAAAATGGATAGGCCCAAGTGGGCGGCCGATACCAAACCGTCAATGAAATTAGCATTGACGTGTAGGAGGGCGTGGGGGTTTAGAGAAGGCTTAGTTGTGAAACCTAGCTGGAGCAGCCTCTAGTGCAGATCTTGGTGGTAGTAGCAATTAATCAAATGAGAACTTTGATGACCGAAGTGGATAAGGGTTCCGGGAGAACGAAGCAATTGTCCTCGGGTTAGTCGGCCCTAAAGGAAAAGCTTACCTTCAGAGTGAGGCTTCGCCTCTTGACCTGAAAGGGAAAAAGGCCCAAATTCCTTTACTAGCTGGTGGGGTGTGGTAACGCAACTGAACTTGGGTTGCCAGGAGAAGCCTTGGGACGTCATCTTGCCTTTACAACACCACTCCTTTGAATCGTCTTGTCTGGAGAAAAGGACAGAAAGTTGGCATAGTTTCTACACCTGTTGGAAATCCGCGCGCTTCTATTGGCCTTTGAAACCCCAAGGGATATTTACTCCACTTTCTAGCCGTACCCTAAACCGCATCAGGGTCTCCTAGGTTCGCAGCCTCTGGTCGATAGAATAAGGCGGATGAGGGAAGTCGGCAAATTAGATCTGTACCTTGGAAAAAGTGATTGGCTCGAGGCCGAGCTTTCAGGGCCTAGTGACAGTTCATCGTTCTCGCTTTCTTGGAGTGGGTTTACTGCTTTGGGAGTTGCACGAGCGGTGGCCTACGCTAGGAGCTTCGGCTATCCTGTTGTCATCAACCGGGCTAACTCAGAACTGTACGGACAAGCGGATAGTCCACTGTTTAATTAAAACAAAGCATTGCGATCACGTCACCGCTTTGACGCAATGTGATTTTCGCCCAGTGCCGGAATTCATTGCGATGAAATTCGCCCAAGCGCGGGTGAAACGGCGGGAGTAACTATGACTCTCTTAAGGTAGCCAAATGCCTGTCATTTAATTAGTGACGCGCATGAATGGATCAACGAGATTCCTACTGTCCCCATCCGCCATCTAGCGAAACCACAGCCAAGGGAACGGGCTTGGCAAAATAAGCGGGGAAAGAAGACCCCACTGAGCTTGACCGGAGTCTGACTTTGCGGACTACCTGGGGGTGTAAAAGACGGGAGCTTTGGCGACAGTGAAATACCACGACCTCCACTGTCGCTCTACTTATTCCTGTCACACCGAATCACGTTTTCTACGTGTCTAGATTTAGTCTCTCTTACCGACCGTATCAGAGGACATATTCAGATGGGGAGTTTGGCTGGGGCGGCACATCTGCTAAACTGCAACGCAGATGCCCTAAGGTTGACTCAGAGAGAACAGAAATCTCTCGTAGACTGAAAAGGGGAAAAAGTCAGGATTCTGATTTGCGAGAGTACGAACCGCGAAAGCATGGCCTATCGATCCTTTAAGTCCAGAAAGGTTCTGGCTAGAGGTGACAGAAAAGTTACCACAGGATAACTGGCTTGTGGCAGCCAAGCGTTCATAGCGACGTTGCTTTTTGATCCTTCGATGTCGGTTCTTCTATCATTGAGACGCAGAAGCCCCAAAATGTCGGATTGTTCACCCGCTAATAGGAACGTGAGCTGG</v>
      </c>
    </row>
    <row r="60" spans="1:36" ht="14.5" x14ac:dyDescent="0.35">
      <c r="A60" s="22">
        <v>1</v>
      </c>
      <c r="B60" s="15">
        <v>44686</v>
      </c>
      <c r="C60">
        <v>5</v>
      </c>
      <c r="D60" t="str">
        <f>Table13[[#This Row],[Nanopore_Run]] &amp; "_" &amp; Table13[[#This Row],[Barcode_ID]]</f>
        <v>1_5</v>
      </c>
      <c r="E60">
        <v>1368</v>
      </c>
      <c r="F60">
        <f>IF(COUNTIF($D$8:D60, D60)=1, Table13[[#This Row],[Reads count]], 0)</f>
        <v>0</v>
      </c>
      <c r="G60" s="16">
        <v>87.730208333333579</v>
      </c>
      <c r="H60" t="s">
        <v>50</v>
      </c>
      <c r="I60" s="1" t="s">
        <v>51</v>
      </c>
      <c r="J60" t="s">
        <v>25</v>
      </c>
      <c r="K60" t="str">
        <f t="shared" si="1"/>
        <v>1_5_GregRC / iLSUr</v>
      </c>
      <c r="L60">
        <v>4</v>
      </c>
      <c r="M60" t="s">
        <v>26</v>
      </c>
      <c r="N60" t="s">
        <v>27</v>
      </c>
      <c r="O60" t="s">
        <v>28</v>
      </c>
      <c r="P60" s="14">
        <v>3350</v>
      </c>
      <c r="Q60" s="1" t="s">
        <v>47</v>
      </c>
      <c r="R60">
        <v>20</v>
      </c>
      <c r="S60">
        <f>IF(COUNTIF($K$8:K60, K60)=1, Table13[[#This Row],[Cutadapt_Metrics_Total_Reads]], 0)</f>
        <v>0</v>
      </c>
      <c r="T60" s="2">
        <f>(Table13[[#This Row],[Cutadapt_Metrics_Total_Reads]]/Table13[[#This Row],[Reads count]])*100</f>
        <v>1.4619883040935671</v>
      </c>
      <c r="U60" t="s">
        <v>91</v>
      </c>
      <c r="V60" t="str">
        <f>Table13[[#This Row],[Amplicon_consensus]] &amp; "_Run" &amp; A60 &amp; "_Barcode" &amp; C60 &amp; "_" &amp; Table13[[#This Row],[Host]] &amp; "_" &amp; Table13[[#This Row],[Primers]]</f>
        <v>&gt;consensus_cl_id_1_total_supporting_reads_8_Run1_Barcode5_Gryllus assimilis_GregRC / iLSUr</v>
      </c>
      <c r="W60">
        <v>8</v>
      </c>
      <c r="X60" s="17">
        <f>(Table13[[#This Row],[Supported_by_x_reads]]/Table13[[#This Row],[Cutadapt_Metrics_Total_Reads]])*100</f>
        <v>40</v>
      </c>
      <c r="Y60" t="s">
        <v>149</v>
      </c>
      <c r="Z60">
        <f>LEN(Table13[[#This Row],[Sequence]])</f>
        <v>3500</v>
      </c>
      <c r="AA60" t="s">
        <v>366</v>
      </c>
      <c r="AB60" t="s">
        <v>365</v>
      </c>
      <c r="AC60">
        <v>39</v>
      </c>
      <c r="AD60">
        <v>87.5</v>
      </c>
      <c r="AE60" t="s">
        <v>47</v>
      </c>
      <c r="AF60" t="s">
        <v>32</v>
      </c>
      <c r="AG60" t="s">
        <v>32</v>
      </c>
      <c r="AH60" t="str" cm="1">
        <f t="array" ref="AH60">ReverseComplement(Table13[[#This Row],[Sequence]])</f>
        <v>GGGCACCACCAGGAGTGGAGCCTGCGGCTTAATTTGAGTCAACACGGGGAATTTTACCAGGCCCGGACATGGTTATGATTGACAGGTGAAGAGATCTTTCTTGATTCTATGGGTGGTGGTGCATGGCCGTTCTTAGTCGGTGAGGTGACTTGTCTGGTTAATTCCGATAACGGACGAGATCTCGGCTGTCTCCCTTTCTCTTCTCATCGTTCCTGAGAAGCTGTATGGAGAAGGACTCTGGGGGGTTTTACCCCAGGTAAGATCGAGGCTATAACAGGTCTGTGATGCCCTTAGATGGCCTGGGCTGCACGTGTGCTACAATGACTCTAGCAACAAGCCTTACATTTCGAAAGAAATGTGAAATCACGAAAATAGTGTCGTGTTAGGATTGAGTTTTGTAATTTTGGCTCATGAACGAGGAATTCCTAGTAAGTATAGTTCATAATACTGTGCTGATTGCGTCCCTGCCCTTGTACACACCGCCCGTCGCTTCAACCGATTGGATGATCCGGTGAATTCTGTGACATTTTATATTGGCATTCGCCTTTGTGAAATGGAAGCGGAATAAGCCTTGTCATCTAGAGGATGAAGAAGTCGTAACACGGTATCCGTAGGTGAACCTGCGGATGGATCATTAAAAAAGTGTTAAAAACACACATCATCTAGAAGGATTTTAGGCATTGACAGACATTAATTAACCTATTTAAAGGTTCAGCGATGGATTACTTGGTTTGCAGTTTGATGAAAGATGTGTCAGTCCGCAGTATGGGTGCCGATCTGAGCATTTTCGAAAGCATCATTTCTGAATGTATTGCACTCGTTAGAGTACAATTAGTCAGTGTTTACGTCTTTGACGTATGAGCGGTTTAAATTCCAGTAATCGTGGAATTCCAAAACTCTTGAGTAAAAACGAATGTTGTTACTTAGAATAGATAATAAATTGAACCTGATCTAATTGAAGCTACCCTCTGAATTTAAGCATATAATTAAGAGGAGGAAAGGAAAACAACAGTGACATCCTGACTAGCGGCGAGCGAAAGGGATTCAAACTGTCCACGAATCATTGCTTGCAATGACATGTGGGAACAATAGCGGAGCGGGATCTCAATTAGTTGTTGAGGTGGAAGACTCAACTGAAAACGGTGACAGGCCTGTTTCTAAGATGAGAACGCAACGTTATGAATAGTAGAGTCAAACTCCTGAGAGTGGAGTTTAAAGCGGGCGTATCTGTGCTCGAAGTTTAAGTATTACTGCAAAACCGATAGCGAATAAGTACCATGAGGGAAAGTTGAAAAGAACTCCGAGAGGAGCTTCAAAAAACATGAAATCGCTGGGCTGGAAGCATAATCAGGAACCGCCTTGTGCAGCATGGTCATGTTTAAATGGCTGTGTTTGGCTTCTGATTATGACCCGTCTTGAAACACGGACCAAGGAGTTATTAAGCTGTGCAAGTGCTAGGGCAAAAAACCCAAGTGCGGAATGAAAGTGATTGCGGAACAAGCAATTCCTGTGAAAATTGTGATAGAGCATAGCTTATTAAACCCGAAAGATGGTGATCTATACTTGGGAAGAGTGAAGCCAGGAGAAATCCTGGTGGAGGCTCAATGTGATACTGACGTGCAAATCGTTCATCCTACCTGAGTATAGGGCGAAAGACTCATCGAACCATCTAGTAGCTGGTTCCCTCCGAAGTTTCCCTTAGGATAGCTTGAACTTTGAAAAGTAGGTTTCGGTAAAGCTTATGATTAGAGGCACTGGGGACATCTTGGTCCTCGACCTATTCTCAAACTTCAAATGAAATCGATAAAGCCAATTAAGTTGATAATTGGCGGTGACTATGTAAGTTCATAGTGGGCCATTTTGGTAAGCAGAACTGGCGATGAGGGATGCTCCTTAAACGCATATAAGACGTCTAATTTCCGCTTATGACAAACCACAAAGGGTGTTGGTTCATTGAGACAGCAGGACGGTGGTCATGGAAGTTGAAATCCGCTAAGGAGTGTGTAATAACTCACCTGCCGAATGGACCAGCCCCGAAAAATTGATGACGGTCAGCGAAAAGTCGATAATGCGTCGTTGTTGTAAAGGAAACAACGTGTAGGAGGGCGTGAATTTACCAGAGAATGTTGTGCGTGAGTGCAACAGGAGGTGAATTTAGTGCAGATCTTGGTGATAGTAGTAAATAGTTGTCTGAGAATGGCAACGGCCTACGTGGATAAGGGTTCCGAAGGAACAGTAGTTGGTTTCGGGTTAGTCGGTTCTAAGGGGTTTATTAGCTCAAATGATTCCCGAAAGAGAATAAGGCTAATATTCCTTAACTCAAAGGACTTTAGAGTGGTAACACAAAGGGCACTGGGGGGTCCGGAGGAGTGTCGTGAGGCGACGTCTATGCCTTTCAACTCAGATATCTCTCGGAATAATGTTGGTTTGAGAAGAGAGTAAACTGTGAAAGAGGATTCTCATTTGAGAGTCTACGACAACAACTCGGGGCCGTTGAAAAACCAGTGGTCTATGGAGTTCTTTGAACCGTACCAATAACTGCAGCAGGTCTCCAAGGTTAGGTACCTTTGGTTTAGCAGAGCAAAGCAGATGAGGGAAGTCGGCAAATTAGATCCGAACCTTCGGTAAAAGGATTGGCTCTGAGGACAGTTATGCTGTCAACTCAGAACTGGTGTGGACCAGAGGAATCTGACTGTTTAATTAAAACAAAGCATTATGATAGGCTTTACTGCTGTTGACATAATGTGATTTCTGCCCAGTGCTCTGAATGTCACGGTGATGAGATTCACTTAAGCGCGGGTAAACGGCGGGAGTAACTATGACTCTCTTAAGGTAGCCAAATGCCTCGTCATCTAATTAGTGACGCGCATGAATGGATTAACGAGATTCCTACTGTCCCCATCTGCTATCTGGCGAAACCACAGCCAAGGGAACGGGCTTGGCATGATAAGCGGGGAAAGAAGACCCTGTTGAGCTTGACTCTAGTCTGATATTGTGGAATAACCTATGGGGTGTAGCATACGGGAGGGCTTGCCCGACAGTGAAATACCACGACCTGTAGCGTTGTTCTGCTTACTCTTTAAATGGTGCAGCTCTGTAAAGAGTTGGATGAATGTCGGTTGATAACTCACATCAAAGAGGACATTGTCAGATGGGGAGTTTGGTTGGGGCGGCACATCTGCTAAATTGCAACGCAGATGTCCAAAGGTTGACTCAGAGAGAACAGAAATCTCTCGTAGACTAAAAGGGGAAAAGTCAGCTTGATTCAGAATTTCATTACGATTATGAACTACGAAAGTATGGCCTATCGATCCTTTAAATCCAGAACAGTTCTGGTTAGAGGTGACAGAAAAGTTACCACAGGGATAACTGGCTTGTGGCAGCCAAGCGTTCATAGCGACGTTGCTTTTTGATCCTTCGATGTCGGCTCTTCCTATCATTGGGACGCAGAAGTCTCAAAGTGTCGGATTGTTCACCCGTTTATAGGGAACGTGAGCTGG</v>
      </c>
    </row>
    <row r="61" spans="1:36" ht="14.5" x14ac:dyDescent="0.35">
      <c r="A61" s="22">
        <v>1</v>
      </c>
      <c r="B61" s="15">
        <v>44686</v>
      </c>
      <c r="C61">
        <v>5</v>
      </c>
      <c r="D61" t="str">
        <f>Table13[[#This Row],[Nanopore_Run]] &amp; "_" &amp; Table13[[#This Row],[Barcode_ID]]</f>
        <v>1_5</v>
      </c>
      <c r="E61">
        <v>1368</v>
      </c>
      <c r="F61">
        <f>IF(COUNTIF($D$8:D61, D61)=1, Table13[[#This Row],[Reads count]], 0)</f>
        <v>0</v>
      </c>
      <c r="G61" s="16">
        <v>87.730208333333579</v>
      </c>
      <c r="H61" t="s">
        <v>50</v>
      </c>
      <c r="I61" s="1" t="s">
        <v>51</v>
      </c>
      <c r="J61" t="s">
        <v>25</v>
      </c>
      <c r="K61" t="str">
        <f t="shared" si="1"/>
        <v>1_5_GregRC / iLSUr</v>
      </c>
      <c r="L61">
        <v>4</v>
      </c>
      <c r="M61" t="s">
        <v>26</v>
      </c>
      <c r="N61" t="s">
        <v>27</v>
      </c>
      <c r="O61" t="s">
        <v>28</v>
      </c>
      <c r="P61" s="14">
        <v>3350</v>
      </c>
      <c r="Q61" s="1" t="s">
        <v>47</v>
      </c>
      <c r="R61">
        <v>20</v>
      </c>
      <c r="S61">
        <f>IF(COUNTIF($K$8:K61, K61)=1, Table13[[#This Row],[Cutadapt_Metrics_Total_Reads]], 0)</f>
        <v>0</v>
      </c>
      <c r="T61" s="2">
        <f>(Table13[[#This Row],[Cutadapt_Metrics_Total_Reads]]/Table13[[#This Row],[Reads count]])*100</f>
        <v>1.4619883040935671</v>
      </c>
      <c r="U61" t="s">
        <v>451</v>
      </c>
      <c r="V61" t="str">
        <f>Table13[[#This Row],[Amplicon_consensus]] &amp; "_Run" &amp; A61 &amp; "_Barcode" &amp; C61 &amp; "_" &amp; Table13[[#This Row],[Host]] &amp; "_" &amp; Table13[[#This Row],[Primers]]</f>
        <v>&gt;consensus_cl_id_5_total_supporting_reads_4_Run1_Barcode5_Gryllus assimilis_GregRC / iLSUr</v>
      </c>
      <c r="W61">
        <v>4</v>
      </c>
      <c r="X61" s="17">
        <f>(Table13[[#This Row],[Supported_by_x_reads]]/Table13[[#This Row],[Cutadapt_Metrics_Total_Reads]])*100</f>
        <v>20</v>
      </c>
      <c r="Y61" t="s">
        <v>452</v>
      </c>
      <c r="Z61">
        <f>LEN(Table13[[#This Row],[Sequence]])</f>
        <v>3303</v>
      </c>
      <c r="AA61" t="s">
        <v>366</v>
      </c>
      <c r="AB61" t="s">
        <v>365</v>
      </c>
      <c r="AC61">
        <v>69</v>
      </c>
      <c r="AD61">
        <v>99.1</v>
      </c>
      <c r="AE61" t="s">
        <v>47</v>
      </c>
      <c r="AF61" t="s">
        <v>32</v>
      </c>
      <c r="AG61" t="s">
        <v>54</v>
      </c>
      <c r="AH61" t="s">
        <v>31</v>
      </c>
      <c r="AI61">
        <f>LEN(Table13[[#This Row],[Correct_seq_if_RC]])</f>
        <v>2</v>
      </c>
      <c r="AJ61" t="str">
        <f>IF(Table13[[#This Row],[Column1]]=Table13[[#This Row],[Sequence_length]],"yes","no")</f>
        <v>no</v>
      </c>
    </row>
    <row r="62" spans="1:36" ht="14.5" x14ac:dyDescent="0.35">
      <c r="A62" s="22">
        <v>1</v>
      </c>
      <c r="B62" s="15">
        <v>44686</v>
      </c>
      <c r="C62">
        <v>5</v>
      </c>
      <c r="D62" t="str">
        <f>Table13[[#This Row],[Nanopore_Run]] &amp; "_" &amp; Table13[[#This Row],[Barcode_ID]]</f>
        <v>1_5</v>
      </c>
      <c r="E62">
        <v>1368</v>
      </c>
      <c r="F62">
        <f>IF(COUNTIF($D$8:D62, D62)=1, Table13[[#This Row],[Reads count]], 0)</f>
        <v>0</v>
      </c>
      <c r="G62" s="16">
        <v>87.730208333333579</v>
      </c>
      <c r="H62" t="s">
        <v>50</v>
      </c>
      <c r="I62" s="1" t="s">
        <v>51</v>
      </c>
      <c r="J62" t="s">
        <v>40</v>
      </c>
      <c r="K62" t="str">
        <f t="shared" si="1"/>
        <v>1_5_CM-V5RC / iLSUr</v>
      </c>
      <c r="L62">
        <v>3</v>
      </c>
      <c r="M62" t="s">
        <v>26</v>
      </c>
      <c r="N62" t="s">
        <v>41</v>
      </c>
      <c r="O62" t="s">
        <v>28</v>
      </c>
      <c r="P62" s="14">
        <v>2800</v>
      </c>
      <c r="Q62" s="1" t="s">
        <v>42</v>
      </c>
      <c r="R62">
        <v>0</v>
      </c>
      <c r="S62">
        <f>IF(COUNTIF($K$8:K62, K62)=1, Table13[[#This Row],[Cutadapt_Metrics_Total_Reads]], 0)</f>
        <v>0</v>
      </c>
      <c r="T62" s="2">
        <f>(Table13[[#This Row],[Cutadapt_Metrics_Total_Reads]]/Table13[[#This Row],[Reads count]])*100</f>
        <v>0</v>
      </c>
      <c r="U62" s="14" t="s">
        <v>31</v>
      </c>
      <c r="V62" s="14" t="s">
        <v>31</v>
      </c>
      <c r="W62" s="14" t="s">
        <v>31</v>
      </c>
      <c r="X62" s="14" t="s">
        <v>31</v>
      </c>
      <c r="Y62" t="s">
        <v>31</v>
      </c>
      <c r="AA62" t="s">
        <v>31</v>
      </c>
      <c r="AB62" t="s">
        <v>31</v>
      </c>
      <c r="AC62" t="s">
        <v>31</v>
      </c>
      <c r="AD62" t="s">
        <v>31</v>
      </c>
      <c r="AE62" t="s">
        <v>31</v>
      </c>
      <c r="AF62" t="s">
        <v>31</v>
      </c>
      <c r="AG62" t="s">
        <v>31</v>
      </c>
      <c r="AH62" t="s">
        <v>31</v>
      </c>
    </row>
    <row r="63" spans="1:36" ht="14.5" x14ac:dyDescent="0.35">
      <c r="A63" s="22">
        <v>1</v>
      </c>
      <c r="B63" s="15">
        <v>44686</v>
      </c>
      <c r="C63">
        <v>5</v>
      </c>
      <c r="D63" t="str">
        <f>Table13[[#This Row],[Nanopore_Run]] &amp; "_" &amp; Table13[[#This Row],[Barcode_ID]]</f>
        <v>1_5</v>
      </c>
      <c r="E63">
        <v>1368</v>
      </c>
      <c r="F63">
        <f>IF(COUNTIF($D$8:D63, D63)=1, Table13[[#This Row],[Reads count]], 0)</f>
        <v>0</v>
      </c>
      <c r="G63" s="16">
        <v>87.730208333333579</v>
      </c>
      <c r="H63" t="s">
        <v>50</v>
      </c>
      <c r="I63" s="1" t="s">
        <v>51</v>
      </c>
      <c r="J63" t="s">
        <v>101</v>
      </c>
      <c r="K63" t="str">
        <f t="shared" si="1"/>
        <v>1_5_V1F / CM-V5R</v>
      </c>
      <c r="L63">
        <v>1</v>
      </c>
      <c r="M63" t="s">
        <v>259</v>
      </c>
      <c r="N63" t="s">
        <v>102</v>
      </c>
      <c r="O63" t="s">
        <v>103</v>
      </c>
      <c r="P63" s="14">
        <v>700</v>
      </c>
      <c r="Q63" s="1" t="s">
        <v>42</v>
      </c>
      <c r="R63">
        <v>1</v>
      </c>
      <c r="S63">
        <f>IF(COUNTIF($K$8:K63, K63)=1, Table13[[#This Row],[Cutadapt_Metrics_Total_Reads]], 0)</f>
        <v>1</v>
      </c>
      <c r="T63" s="2">
        <f>(Table13[[#This Row],[Cutadapt_Metrics_Total_Reads]]/Table13[[#This Row],[Reads count]])*100</f>
        <v>7.3099415204678359E-2</v>
      </c>
      <c r="U63" t="s">
        <v>43</v>
      </c>
      <c r="V63" t="str">
        <f>Table13[[#This Row],[Amplicon_consensus]] &amp; "_Run" &amp; A63 &amp; "_Barcode" &amp; C63 &amp; "_" &amp; Table13[[#This Row],[Host]] &amp; "_" &amp; Table13[[#This Row],[Primers]]</f>
        <v>&gt;consensus_cl_id_0_total_supporting_reads_1_Run1_Barcode5_Gryllus assimilis_V1F / CM-V5R</v>
      </c>
      <c r="W63">
        <v>1</v>
      </c>
      <c r="X63" s="17">
        <f>(Table13[[#This Row],[Supported_by_x_reads]]/Table13[[#This Row],[Cutadapt_Metrics_Total_Reads]])*100</f>
        <v>100</v>
      </c>
      <c r="Y63" t="s">
        <v>142</v>
      </c>
      <c r="Z63">
        <f>LEN(Table13[[#This Row],[Sequence]])</f>
        <v>841</v>
      </c>
      <c r="AA63" t="s">
        <v>143</v>
      </c>
      <c r="AB63" t="s">
        <v>453</v>
      </c>
      <c r="AC63">
        <v>100</v>
      </c>
      <c r="AD63">
        <v>89.4</v>
      </c>
      <c r="AE63" t="s">
        <v>109</v>
      </c>
      <c r="AF63" t="s">
        <v>54</v>
      </c>
      <c r="AG63" t="s">
        <v>31</v>
      </c>
      <c r="AH63" t="s">
        <v>31</v>
      </c>
    </row>
    <row r="64" spans="1:36" ht="14.5" x14ac:dyDescent="0.35">
      <c r="A64" s="22">
        <v>1</v>
      </c>
      <c r="B64" s="15">
        <v>44686</v>
      </c>
      <c r="C64">
        <v>5</v>
      </c>
      <c r="D64" t="str">
        <f>Table13[[#This Row],[Nanopore_Run]] &amp; "_" &amp; Table13[[#This Row],[Barcode_ID]]</f>
        <v>1_5</v>
      </c>
      <c r="E64">
        <v>1368</v>
      </c>
      <c r="F64">
        <f>IF(COUNTIF($D$8:D64, D64)=1, Table13[[#This Row],[Reads count]], 0)</f>
        <v>0</v>
      </c>
      <c r="G64" s="16">
        <v>87.730208333333579</v>
      </c>
      <c r="H64" t="s">
        <v>50</v>
      </c>
      <c r="I64" s="1" t="s">
        <v>51</v>
      </c>
      <c r="J64" t="s">
        <v>93</v>
      </c>
      <c r="K64" t="str">
        <f t="shared" si="1"/>
        <v>1_5_GregF / GregR</v>
      </c>
      <c r="L64">
        <v>1</v>
      </c>
      <c r="M64" t="s">
        <v>259</v>
      </c>
      <c r="N64" s="19" t="s">
        <v>94</v>
      </c>
      <c r="O64" t="s">
        <v>95</v>
      </c>
      <c r="P64" s="14">
        <v>300</v>
      </c>
      <c r="Q64" s="1" t="s">
        <v>47</v>
      </c>
      <c r="R64">
        <v>51</v>
      </c>
      <c r="S64">
        <f>IF(COUNTIF($K$8:K64, K64)=1, Table13[[#This Row],[Cutadapt_Metrics_Total_Reads]], 0)</f>
        <v>51</v>
      </c>
      <c r="T64" s="2">
        <f>(Table13[[#This Row],[Cutadapt_Metrics_Total_Reads]]/Table13[[#This Row],[Reads count]])*100</f>
        <v>3.7280701754385963</v>
      </c>
      <c r="U64" t="s">
        <v>152</v>
      </c>
      <c r="V64" t="str">
        <f>Table13[[#This Row],[Amplicon_consensus]] &amp; "_Run" &amp; A64 &amp; "_Barcode" &amp; C64 &amp; "_" &amp; Table13[[#This Row],[Host]] &amp; "_" &amp; Table13[[#This Row],[Primers]]</f>
        <v xml:space="preserve">&gt;consensus_cl_id_1_total_supporting_reads_24_Run1_Barcode5_Gryllus assimilis_GregF / GregR </v>
      </c>
      <c r="W64">
        <v>24</v>
      </c>
      <c r="X64" s="17">
        <f>(Table13[[#This Row],[Supported_by_x_reads]]/Table13[[#This Row],[Cutadapt_Metrics_Total_Reads]])*100</f>
        <v>47.058823529411761</v>
      </c>
      <c r="Y64" t="s">
        <v>153</v>
      </c>
      <c r="Z64">
        <f>LEN(Table13[[#This Row],[Sequence]])</f>
        <v>359</v>
      </c>
      <c r="AA64" t="s">
        <v>266</v>
      </c>
      <c r="AB64" t="s">
        <v>290</v>
      </c>
      <c r="AC64">
        <v>92</v>
      </c>
      <c r="AD64">
        <v>97.9</v>
      </c>
      <c r="AE64" t="s">
        <v>47</v>
      </c>
      <c r="AF64" t="s">
        <v>32</v>
      </c>
      <c r="AG64" t="s">
        <v>32</v>
      </c>
      <c r="AH64" t="s">
        <v>154</v>
      </c>
      <c r="AI64">
        <f>LEN(Table13[[#This Row],[Correct_seq_if_RC]])</f>
        <v>359</v>
      </c>
      <c r="AJ64" t="str">
        <f>IF(Table13[[#This Row],[Column1]]=Table13[[#This Row],[Sequence_length]],"yes","no")</f>
        <v>yes</v>
      </c>
    </row>
    <row r="65" spans="1:36" ht="14.5" x14ac:dyDescent="0.35">
      <c r="A65" s="22">
        <v>1</v>
      </c>
      <c r="B65" s="15">
        <v>44686</v>
      </c>
      <c r="C65">
        <v>5</v>
      </c>
      <c r="D65" t="str">
        <f>Table13[[#This Row],[Nanopore_Run]] &amp; "_" &amp; Table13[[#This Row],[Barcode_ID]]</f>
        <v>1_5</v>
      </c>
      <c r="E65">
        <v>1368</v>
      </c>
      <c r="F65">
        <f>IF(COUNTIF($D$8:D65, D65)=1, Table13[[#This Row],[Reads count]], 0)</f>
        <v>0</v>
      </c>
      <c r="G65" s="16">
        <v>87.730208333333579</v>
      </c>
      <c r="H65" t="s">
        <v>50</v>
      </c>
      <c r="I65" s="1" t="s">
        <v>51</v>
      </c>
      <c r="J65" t="s">
        <v>75</v>
      </c>
      <c r="K65" t="str">
        <f t="shared" si="1"/>
        <v>1_5_Am</v>
      </c>
      <c r="L65">
        <v>2</v>
      </c>
      <c r="M65" t="s">
        <v>259</v>
      </c>
      <c r="N65" t="s">
        <v>76</v>
      </c>
      <c r="O65" t="s">
        <v>77</v>
      </c>
      <c r="P65" s="14">
        <v>400</v>
      </c>
      <c r="Q65" s="1" t="s">
        <v>37</v>
      </c>
      <c r="R65">
        <v>375</v>
      </c>
      <c r="S65">
        <f>IF(COUNTIF($K$8:K65, K65)=1, Table13[[#This Row],[Cutadapt_Metrics_Total_Reads]], 0)</f>
        <v>375</v>
      </c>
      <c r="T65" s="2">
        <v>27.412280701754387</v>
      </c>
      <c r="U65" t="s">
        <v>455</v>
      </c>
      <c r="V65" t="s">
        <v>454</v>
      </c>
      <c r="W65">
        <v>61</v>
      </c>
      <c r="X65" s="17">
        <f>(Table13[[#This Row],[Supported_by_x_reads]]/Table13[[#This Row],[Cutadapt_Metrics_Total_Reads]])*100</f>
        <v>16.266666666666666</v>
      </c>
      <c r="Y65" t="s">
        <v>456</v>
      </c>
      <c r="Z65">
        <f>LEN(Table13[[#This Row],[Sequence]])</f>
        <v>481</v>
      </c>
      <c r="AA65" t="s">
        <v>64</v>
      </c>
      <c r="AB65" t="s">
        <v>371</v>
      </c>
      <c r="AC65">
        <v>73</v>
      </c>
      <c r="AD65">
        <v>98.6</v>
      </c>
      <c r="AE65" t="s">
        <v>430</v>
      </c>
      <c r="AF65" t="s">
        <v>54</v>
      </c>
      <c r="AG65" t="s">
        <v>31</v>
      </c>
      <c r="AH65" t="s">
        <v>31</v>
      </c>
    </row>
    <row r="66" spans="1:36" ht="14.5" x14ac:dyDescent="0.35">
      <c r="A66" s="22">
        <v>1</v>
      </c>
      <c r="B66" s="15">
        <v>44686</v>
      </c>
      <c r="C66">
        <v>5</v>
      </c>
      <c r="D66" t="str">
        <f>Table13[[#This Row],[Nanopore_Run]] &amp; "_" &amp; Table13[[#This Row],[Barcode_ID]]</f>
        <v>1_5</v>
      </c>
      <c r="E66">
        <v>1368</v>
      </c>
      <c r="F66">
        <f>IF(COUNTIF($D$8:D66, D66)=1, Table13[[#This Row],[Reads count]], 0)</f>
        <v>0</v>
      </c>
      <c r="G66" s="16">
        <v>87.730208333333579</v>
      </c>
      <c r="H66" t="s">
        <v>50</v>
      </c>
      <c r="I66" s="1" t="s">
        <v>51</v>
      </c>
      <c r="J66" t="s">
        <v>75</v>
      </c>
      <c r="K66" t="str">
        <f t="shared" si="1"/>
        <v>1_5_Am</v>
      </c>
      <c r="L66">
        <v>2</v>
      </c>
      <c r="M66" t="s">
        <v>259</v>
      </c>
      <c r="N66" t="s">
        <v>76</v>
      </c>
      <c r="O66" t="s">
        <v>77</v>
      </c>
      <c r="P66" s="14">
        <v>400</v>
      </c>
      <c r="Q66" s="1" t="s">
        <v>37</v>
      </c>
      <c r="R66">
        <v>375</v>
      </c>
      <c r="S66">
        <f>IF(COUNTIF($K$8:K66, K66)=1, Table13[[#This Row],[Cutadapt_Metrics_Total_Reads]], 0)</f>
        <v>0</v>
      </c>
      <c r="T66" s="2">
        <f>(Table13[[#This Row],[Cutadapt_Metrics_Total_Reads]]/Table13[[#This Row],[Reads count]])*100</f>
        <v>27.412280701754387</v>
      </c>
      <c r="U66" t="s">
        <v>155</v>
      </c>
      <c r="V66" t="str">
        <f>Table13[[#This Row],[Amplicon_consensus]] &amp; "_Run" &amp; A66 &amp; "_Barcode" &amp; C66 &amp; "_" &amp; Table13[[#This Row],[Host]] &amp; "_" &amp; Table13[[#This Row],[Primers]]</f>
        <v>&gt;consensus_cl_id_14_total_supporting_reads_116_Run1_Barcode5_Gryllus assimilis_Am</v>
      </c>
      <c r="W66">
        <v>116</v>
      </c>
      <c r="X66" s="17">
        <f>(Table13[[#This Row],[Supported_by_x_reads]]/Table13[[#This Row],[Cutadapt_Metrics_Total_Reads]])*100</f>
        <v>30.933333333333334</v>
      </c>
      <c r="Y66" t="s">
        <v>156</v>
      </c>
      <c r="Z66">
        <f>LEN(Table13[[#This Row],[Sequence]])</f>
        <v>382</v>
      </c>
      <c r="AA66" t="s">
        <v>64</v>
      </c>
      <c r="AB66" t="s">
        <v>371</v>
      </c>
      <c r="AC66">
        <v>85</v>
      </c>
      <c r="AD66">
        <v>99.1</v>
      </c>
      <c r="AE66" t="s">
        <v>430</v>
      </c>
      <c r="AF66" t="s">
        <v>54</v>
      </c>
      <c r="AG66" t="s">
        <v>31</v>
      </c>
      <c r="AH66" t="s">
        <v>31</v>
      </c>
    </row>
    <row r="67" spans="1:36" ht="14.5" x14ac:dyDescent="0.35">
      <c r="A67" s="22">
        <v>1</v>
      </c>
      <c r="B67" s="15">
        <v>44686</v>
      </c>
      <c r="C67">
        <v>6</v>
      </c>
      <c r="D67" t="str">
        <f>Table13[[#This Row],[Nanopore_Run]] &amp; "_" &amp; Table13[[#This Row],[Barcode_ID]]</f>
        <v>1_6</v>
      </c>
      <c r="E67">
        <v>897</v>
      </c>
      <c r="F67">
        <f>IF(COUNTIF($D$8:D67, D67)=1, Table13[[#This Row],[Reads count]], 0)</f>
        <v>897</v>
      </c>
      <c r="G67" s="16">
        <v>90.268303121516226</v>
      </c>
      <c r="H67" t="s">
        <v>81</v>
      </c>
      <c r="I67" s="1" t="s">
        <v>34</v>
      </c>
      <c r="J67" t="s">
        <v>75</v>
      </c>
      <c r="K67" t="str">
        <f t="shared" si="1"/>
        <v>1_6_Am</v>
      </c>
      <c r="L67">
        <v>2</v>
      </c>
      <c r="M67" t="s">
        <v>259</v>
      </c>
      <c r="N67" t="s">
        <v>76</v>
      </c>
      <c r="O67" t="s">
        <v>77</v>
      </c>
      <c r="P67" s="14">
        <v>400</v>
      </c>
      <c r="Q67" s="1" t="s">
        <v>37</v>
      </c>
      <c r="R67" s="18">
        <v>249</v>
      </c>
      <c r="S67">
        <f>IF(COUNTIF($K$8:K67, K67)=1, Table13[[#This Row],[Cutadapt_Metrics_Total_Reads]], 0)</f>
        <v>249</v>
      </c>
      <c r="T67" s="2">
        <f>(Table13[[#This Row],[Cutadapt_Metrics_Total_Reads]]/Table13[[#This Row],[Reads count]])*100</f>
        <v>27.759197324414714</v>
      </c>
      <c r="U67" t="s">
        <v>83</v>
      </c>
      <c r="V67" t="str">
        <f>Table13[[#This Row],[Amplicon_consensus]] &amp; "_Run" &amp; A67 &amp; "_Barcode" &amp; C67 &amp; "_" &amp; Table13[[#This Row],[Host]] &amp; "_" &amp; Table13[[#This Row],[Primers]]</f>
        <v>&gt;consensus_cl_id_0_total_supporting_reads_104_Run1_Barcode6_Alphitobius diaperinus_Am</v>
      </c>
      <c r="W67">
        <v>104</v>
      </c>
      <c r="X67" s="17">
        <f>(Table13[[#This Row],[Supported_by_x_reads]]/Table13[[#This Row],[Cutadapt_Metrics_Total_Reads]])*100</f>
        <v>41.76706827309237</v>
      </c>
      <c r="Y67" t="s">
        <v>84</v>
      </c>
      <c r="Z67">
        <f>LEN(Table13[[#This Row],[Sequence]])</f>
        <v>583</v>
      </c>
      <c r="AA67" t="s">
        <v>459</v>
      </c>
      <c r="AB67" t="s">
        <v>460</v>
      </c>
      <c r="AC67">
        <v>74</v>
      </c>
      <c r="AD67">
        <v>95.2</v>
      </c>
      <c r="AE67" t="s">
        <v>430</v>
      </c>
      <c r="AF67" t="s">
        <v>54</v>
      </c>
      <c r="AG67" t="s">
        <v>31</v>
      </c>
      <c r="AH67" t="s">
        <v>31</v>
      </c>
    </row>
    <row r="68" spans="1:36" ht="14.5" x14ac:dyDescent="0.35">
      <c r="A68" s="22">
        <v>1</v>
      </c>
      <c r="B68" s="15">
        <v>44686</v>
      </c>
      <c r="C68">
        <v>6</v>
      </c>
      <c r="D68" t="str">
        <f>Table13[[#This Row],[Nanopore_Run]] &amp; "_" &amp; Table13[[#This Row],[Barcode_ID]]</f>
        <v>1_6</v>
      </c>
      <c r="E68">
        <v>897</v>
      </c>
      <c r="F68">
        <f>IF(COUNTIF($D$8:D68, D68)=1, Table13[[#This Row],[Reads count]], 0)</f>
        <v>0</v>
      </c>
      <c r="G68" s="16">
        <v>90.268303121516226</v>
      </c>
      <c r="H68" t="s">
        <v>81</v>
      </c>
      <c r="I68" s="1" t="s">
        <v>34</v>
      </c>
      <c r="J68" t="s">
        <v>75</v>
      </c>
      <c r="K68" t="str">
        <f t="shared" si="1"/>
        <v>1_6_Am</v>
      </c>
      <c r="L68">
        <v>2</v>
      </c>
      <c r="M68" t="s">
        <v>259</v>
      </c>
      <c r="N68" t="s">
        <v>76</v>
      </c>
      <c r="O68" t="s">
        <v>77</v>
      </c>
      <c r="P68" s="14">
        <v>400</v>
      </c>
      <c r="Q68" s="1" t="s">
        <v>37</v>
      </c>
      <c r="R68" s="18">
        <v>249</v>
      </c>
      <c r="S68">
        <f>IF(COUNTIF($K$8:K68, K68)=1, Table13[[#This Row],[Cutadapt_Metrics_Total_Reads]], 0)</f>
        <v>0</v>
      </c>
      <c r="T68" s="2">
        <f>(Table13[[#This Row],[Cutadapt_Metrics_Total_Reads]]/Table13[[#This Row],[Reads count]])*100</f>
        <v>27.759197324414714</v>
      </c>
      <c r="U68" t="s">
        <v>457</v>
      </c>
      <c r="V68" t="str">
        <f>Table13[[#This Row],[Amplicon_consensus]] &amp; "_Run" &amp; A68 &amp; "_Barcode" &amp; C68 &amp; "_" &amp; Table13[[#This Row],[Host]] &amp; "_" &amp; Table13[[#This Row],[Primers]]</f>
        <v>&gt;consensus_cl_id_1_total_supporting_reads_42_Run1_Barcode6_Alphitobius diaperinus_Am</v>
      </c>
      <c r="W68">
        <v>42</v>
      </c>
      <c r="X68" s="17">
        <f>(Table13[[#This Row],[Supported_by_x_reads]]/Table13[[#This Row],[Cutadapt_Metrics_Total_Reads]])*100</f>
        <v>16.867469879518072</v>
      </c>
      <c r="Y68" t="s">
        <v>458</v>
      </c>
      <c r="Z68">
        <f>LEN(Table13[[#This Row],[Sequence]])</f>
        <v>600</v>
      </c>
      <c r="AA68" t="s">
        <v>459</v>
      </c>
      <c r="AB68" t="s">
        <v>460</v>
      </c>
      <c r="AC68">
        <v>55</v>
      </c>
      <c r="AD68">
        <v>96.1</v>
      </c>
      <c r="AE68" t="s">
        <v>430</v>
      </c>
      <c r="AF68" t="s">
        <v>54</v>
      </c>
      <c r="AG68" t="s">
        <v>31</v>
      </c>
      <c r="AH68" t="s">
        <v>31</v>
      </c>
    </row>
    <row r="69" spans="1:36" ht="14.5" x14ac:dyDescent="0.35">
      <c r="A69" s="22">
        <v>1</v>
      </c>
      <c r="B69" s="15">
        <v>44686</v>
      </c>
      <c r="C69">
        <v>6</v>
      </c>
      <c r="D69" t="str">
        <f>Table13[[#This Row],[Nanopore_Run]] &amp; "_" &amp; Table13[[#This Row],[Barcode_ID]]</f>
        <v>1_6</v>
      </c>
      <c r="E69">
        <v>897</v>
      </c>
      <c r="F69">
        <f>IF(COUNTIF($D$8:D69, D69)=1, Table13[[#This Row],[Reads count]], 0)</f>
        <v>0</v>
      </c>
      <c r="G69" s="16">
        <v>90.268303121516226</v>
      </c>
      <c r="H69" t="s">
        <v>81</v>
      </c>
      <c r="I69" s="1" t="s">
        <v>34</v>
      </c>
      <c r="J69" t="s">
        <v>35</v>
      </c>
      <c r="K69" t="str">
        <f t="shared" si="1"/>
        <v>1_6_AmRC / iLSUr</v>
      </c>
      <c r="L69">
        <v>2</v>
      </c>
      <c r="M69" t="s">
        <v>26</v>
      </c>
      <c r="N69" t="s">
        <v>36</v>
      </c>
      <c r="O69" t="s">
        <v>28</v>
      </c>
      <c r="P69" s="14">
        <v>4200</v>
      </c>
      <c r="Q69" s="1" t="s">
        <v>37</v>
      </c>
      <c r="R69">
        <v>3</v>
      </c>
      <c r="S69">
        <f>IF(COUNTIF($K$8:K69, K69)=1, Table13[[#This Row],[Cutadapt_Metrics_Total_Reads]], 0)</f>
        <v>3</v>
      </c>
      <c r="T69" s="2">
        <f>(Table13[[#This Row],[Cutadapt_Metrics_Total_Reads]]/Table13[[#This Row],[Reads count]])*100</f>
        <v>0.33444816053511706</v>
      </c>
      <c r="U69" t="s">
        <v>68</v>
      </c>
      <c r="V69" t="str">
        <f>Table13[[#This Row],[Amplicon_consensus]] &amp; "_Run" &amp; A69 &amp; "_Barcode" &amp; C69 &amp; "_" &amp; Table13[[#This Row],[Host]] &amp; "_" &amp; Table13[[#This Row],[Primers]]</f>
        <v>&gt;consensus_cl_id_0_total_supporting_reads_2_Run1_Barcode6_Alphitobius diaperinus_AmRC / iLSUr</v>
      </c>
      <c r="W69">
        <v>2</v>
      </c>
      <c r="X69" s="17">
        <f>(Table13[[#This Row],[Supported_by_x_reads]]/Table13[[#This Row],[Cutadapt_Metrics_Total_Reads]])*100</f>
        <v>66.666666666666657</v>
      </c>
      <c r="Y69" t="s">
        <v>82</v>
      </c>
      <c r="Z69">
        <f>LEN(Table13[[#This Row],[Sequence]])</f>
        <v>4079</v>
      </c>
      <c r="AA69" t="s">
        <v>66</v>
      </c>
      <c r="AB69" t="s">
        <v>417</v>
      </c>
      <c r="AC69">
        <v>70</v>
      </c>
      <c r="AD69">
        <v>97.1</v>
      </c>
      <c r="AE69" t="s">
        <v>67</v>
      </c>
      <c r="AG69" t="s">
        <v>32</v>
      </c>
      <c r="AH69" t="str" cm="1">
        <f t="array" ref="AH69">ReverseComplement(Table13[[#This Row],[Sequence]])</f>
        <v>GGCACCACCAGGAGTGGAGCCTGCGGCTACCGACCAACACGGGGAAACTCACCAGGTCCAGACACAATAAGGATTGACGATTGGAGCTCTTCTTGATTTTGTGGGTGGTGGTGCATGGCCGCTCTAGTTGGTGGAGTGATTTGTCTGCTTAATTGCGATAACGAACGAGACCTTAACCTACCAAATAGTGCTGCTAGCTGTTGCTGGCATAGTCGGACTTAGAGGGACTATCGATTTCAAGTCGATGGAAGTTTGAGGCAATAACAGGTCTGTGATGCCCTTAGACGCTCTGGCCGCACGCGCCTACACTGACGGAGCCACCAGTATTAACCTTGGCCGAGAGGTCTGGGAAATCTTGTGGCCTCCGCCGTGCTGGGGATAGAGCATTGTAATTATTGCTCTTCAACGAGGAATTCCTAGTAAGCGCAAGTCATCAGCTTGCGTTGACACGTCCCTGCCCTTGCACACACCGCCCGTCGCTACTACCCGATTGAATGGCTTAGTGAGGCCTCCGGATTGGTTTAAAGAAGGGGCACCCATCTTGGAACCGAAAAGCTGGTCAAACTTGGTCATTTAGGAGGAAGTAAAAGTCGTAACAAGGTTTCCGTAGGTGAACCTGGGAAGGATCATTACAGTATTCTTTGCCAGCGCTTAATTGCGCGGCGAAAAAACCTTACACACAGTGTGTTTTGTTATTACAAGAACTTTTGCTTTGGTCTGGACTAGAAACAGTTTGGGCTAGATGTTTACTGAACTAAACTTCAATATTTATATTGAATTGTTATTTATTTAATTGTCAATTTGCTGATTAAATTCAAAAAATCTTCAAAACTTTCAACAACGGATCTCTTGGTTCTCGCATCGATGAAGAACGCAGCGAAATGCGATAAGTAATATGAATTGCAGATTTTCGTGAATCATCGAATCTTTGAACGCACACTGCGCCCTCTGGTATTCCAGAGGGCATGCCTGTTTGAGCGTCATTTCTCTCTCAAACCTTCGGGTTGGTATTGAGTGACACTCAGCCGAACTAGGCGTTTGCTTGAAATGTATTGGCATGAGTGGTACTGGATAGTGCTATATGACTTTCAATGTATTAGGTTTATCCAACTCGTTGAATAGTTTAATGGTATATTTCTCGGTATTCTAGGCTCGGCCTTACAATATAACAAACAAGTTTGACCTCAAATCAGGTAGGATTACCCGCTGAACTTAAGCATATCAATAAGCGGAGGAAAAGAAACCAACAGGGATTGCCTTAGTAACGGCGAGTGAAGCGGCAAAAGCTCAAATTTGAAATCTGGCACCTTCGGTGTCCGAGTTGTAATTTGAAGAAGGTAACTTTGGAGTTGGTTCTTGCTATGTTCCTTGGAACAGGCGTCACAGAGGTGAGAATCCCGTATGAGATGCCCAATTCTATGTAAAGTGCTTCGAAGAGTCGAGTTGTTTGGGAGCCACTCTAAGTGGGCGGTAAAATCCATCTAAAGCCAAATATTGGCGAGAGACCGAGAGCGAACAAGTACAGTGATGGAAAGATGAAAAGAACTTTGAAAAGAGAGTGAAAAAGTACGTGAAATTGTTGAAGTGAAGTGGCTTAGATCAGACTTGGTATTTTGCGATCCTTTCCTTCTTGGTTGGGTTCCTCGCAGCTTACTGGGCCAGCATCGGTTTGGATGGTAGGATGAAGACTAGGCGAATGTGGCTCTACTTCGGTGCGGAGGTTATAGCCTTGGTTGATACTGCCTGTCTAGACCGAGGACTGCGTCTTTTGACTAGGATGTTGGCATAATGATCTTAAGCCACCCGTCTTGAAACACGGACCAAGGAGTCTAACGTCTATGCGAGTGTTTGGGTGTAAAACCCGTACGCGTAACGAGTGAACGTAGTGAGAGCTCTTAAGAGTGCATCATCGACCGATCCTGATGTCTTCGGATGGATTTGAGTAAGAGCATAGCCGTTGGGACCCGAAAGATGGTGAACTATACCTGAATAGGGTGAAGCCAGAGGAAACTCGGTGGAGGCTCGTAGCGGTTCTGACGTGCAAATCGATCGTCGAATTTGGGTATAGGGGCGAAAGACTAATCGAACCATCTAGTAGCTGGTTCCTGCCGAAGTTTCCCTCAGGATAGCAGAAGCTCGTATCAGTTTTATGAGGTAAAGCGAATGATTAGAGTATTGGGGTTGAAATGACCTTAACCTATTCTCAAACTTTAAATATGTAAGAAGTCCTGTTGCTTAATTGAACGTGGACATTTGAATGAATATTTTTAGTGGGCCATTTGGCAAGCAGAACTGATGCGGGATGAACCGAACGTGAAGTTAAAGTGCCGGAATACACGCTCATCAGACACCACAAAAGGTGTTAGTTCATCTAGACAGCCGGACGGTGGCCAAGGAGTCGGAATCCGCTAAGGAGTGTGTAACAACTCACCGGCCGAATGAACTAGCCCCGAAAATGGATGGCGCTCAAGCGTGTTACTTATACTTCACCGTCACGGGTTGATATGATGCCCTGACGAGTAGGCAGGCGTGGAGGTCATGACGAAGCCTTGACTGTAAAGCTGGGTAGAACGGCCTCAGTGCAGATCTTGGTGGTAGTAGCAATATTCAAATGAGAACTTTGAAGCTGAAGCGGGGAAGGTTCCATGTCAACAGCAGTTGGACATGGGTTAGTCGATCCTAAGAGATGGGGAAGCTCCGTTTCAAAGAACTTCGATTTTTCAAGTCACCATCGAAAGGAATCCGGTTAAAATTCCGGAACTTGGATATGGATTCTTCACGGTAACGTAACTGAATGTGGAGACGTCGGCGTGAGCCCTGGGAGGAGTTCTCTTTCTTCTTAACAGCTTATCACCCTGGAATTGGTTTATCCGAGATAGGGTCTTATGGCTGGAAGAGTGCAATACTTTTGTTGCATCCGGTGCGCGTTACGACGGTCCTTGAAAATCCACAGGAAGGAATAGTTTTCACGCCGGGTCGTACTCATAACCGCAGCAGGTCTCCAAGGTTAACAGCCTCTAGTTGATAGAATAATGTAGATAAGGGAAGTCGGCAAAATAGATCCGTAACTTCGGGATAAGGATTGGCTCATGATCGCGTGCTGGGCCTTTACCAGACGCAGCGGAACTGATGGTGGACTGTCTAGGAGCAATCTTGGACGGACCGCTGTCGGATCTTGTTGTAGACGGTTTTGGTAGACTTTGAGTGTCCGGGGCACGCTTAACGATCAACTTAGAACTGGTACGGACAAGGGGAATCTGACTGTCTAATTAAAACATAGCATTGCGATGGTCAGAAAGTGATGTTGACGCAATGTGATTTCTGCCCAGTGCTCTGAATGTCAAAGTGAAGAAATTCAACCAAGCGCGGGTAAACGGCGGGAGTAACTATGACTCTCTTAAGGTAGCCAAATGCCTCGTCATCTAATTAGTGACGCGCATGAATGGATTAACGAGATTCCCACTGTCCCTATCTACTATCTAGCGAAACCACAGCCAAGGGAACGTACTTGGCAGAATCAGCGGGGAAAGAAGACCCTGTTGAGCTTGACTCTAGTTTGACATTGTGAAAAGACATAGAGGGTGTAGAATAAGTGGGAGCTTCGGCGCCGGTGAAATACCACTACCTCTATAGTTTTTTTACTTATTCAATTAAACGGAGCTGGCCTTCATCGTCCACGTTCTAGCATTAAAGTCTCTTTAGAGGCTGATCCGGGTTGAAGACATTGTCAGGTGGGGAGTTTGGCTGGGGCGGCACATCTGTTAAACGATAACGTAGGTGTCCTAAGGGGGGCTCATGGAGAACAGAAATCTCCAGTAGAACAAAAGGGTAAAAGCCCCCCTTGATTTTGATTTTCAGTGTGAATACAAACCATGAAAAGCGGCCTATCGATCCTTTAGATCCTCGGAATTTGAGGCTAGAGGTGCCAGAAAAGTTACCACAGGGATAACTGGCTTGTGGCAGTCAAGCGTTCATAGCGACATTGCTTTTTGATTCCTCGATGTCGGCTCTTCCTATCATACCGAAGCAGATTCGGTAAGCGTTGGATTGTTCACCCACTAATAGGGAACGTGAGCTGG</v>
      </c>
    </row>
    <row r="70" spans="1:36" ht="14.5" x14ac:dyDescent="0.35">
      <c r="A70" s="22">
        <v>1</v>
      </c>
      <c r="B70" s="15">
        <v>44686</v>
      </c>
      <c r="C70">
        <v>6</v>
      </c>
      <c r="D70" t="str">
        <f>Table13[[#This Row],[Nanopore_Run]] &amp; "_" &amp; Table13[[#This Row],[Barcode_ID]]</f>
        <v>1_6</v>
      </c>
      <c r="E70">
        <v>897</v>
      </c>
      <c r="F70">
        <f>IF(COUNTIF($D$8:D70, D70)=1, Table13[[#This Row],[Reads count]], 0)</f>
        <v>0</v>
      </c>
      <c r="G70" s="16">
        <v>90.268303121516226</v>
      </c>
      <c r="H70" t="s">
        <v>81</v>
      </c>
      <c r="I70" s="1" t="s">
        <v>34</v>
      </c>
      <c r="J70" t="s">
        <v>35</v>
      </c>
      <c r="K70" t="str">
        <f t="shared" si="1"/>
        <v>1_6_AmRC / iLSUr</v>
      </c>
      <c r="L70">
        <v>2</v>
      </c>
      <c r="M70" t="s">
        <v>26</v>
      </c>
      <c r="N70" t="s">
        <v>36</v>
      </c>
      <c r="O70" t="s">
        <v>28</v>
      </c>
      <c r="P70" s="14">
        <v>4200</v>
      </c>
      <c r="Q70" s="1" t="s">
        <v>37</v>
      </c>
      <c r="R70">
        <v>3</v>
      </c>
      <c r="S70">
        <f>IF(COUNTIF($K$8:K70, K70)=1, Table13[[#This Row],[Cutadapt_Metrics_Total_Reads]], 0)</f>
        <v>0</v>
      </c>
      <c r="T70" s="2">
        <f>(Table13[[#This Row],[Cutadapt_Metrics_Total_Reads]]/Table13[[#This Row],[Reads count]])*100</f>
        <v>0.33444816053511706</v>
      </c>
      <c r="U70" t="s">
        <v>350</v>
      </c>
      <c r="V70" t="str">
        <f>Table13[[#This Row],[Amplicon_consensus]] &amp; "_Run" &amp; A70 &amp; "_Barcode" &amp; C70 &amp; "_" &amp; Table13[[#This Row],[Host]] &amp; "_" &amp; Table13[[#This Row],[Primers]]</f>
        <v>&gt;consensus_cl_id_2_total_supporting_reads_1_Run1_Barcode6_Alphitobius diaperinus_AmRC / iLSUr</v>
      </c>
      <c r="W70">
        <v>1</v>
      </c>
      <c r="X70" s="17">
        <f>(Table13[[#This Row],[Supported_by_x_reads]]/Table13[[#This Row],[Cutadapt_Metrics_Total_Reads]])*100</f>
        <v>33.333333333333329</v>
      </c>
      <c r="Y70" t="s">
        <v>461</v>
      </c>
      <c r="Z70">
        <f>LEN(Table13[[#This Row],[Sequence]])</f>
        <v>4196</v>
      </c>
      <c r="AA70" t="s">
        <v>400</v>
      </c>
      <c r="AB70" t="s">
        <v>462</v>
      </c>
      <c r="AC70">
        <v>72</v>
      </c>
      <c r="AD70">
        <v>92.5</v>
      </c>
      <c r="AE70" t="s">
        <v>109</v>
      </c>
      <c r="AF70" t="s">
        <v>54</v>
      </c>
      <c r="AG70" t="s">
        <v>31</v>
      </c>
      <c r="AH70" t="s">
        <v>31</v>
      </c>
    </row>
    <row r="71" spans="1:36" ht="14.5" x14ac:dyDescent="0.35">
      <c r="A71" s="22">
        <v>1</v>
      </c>
      <c r="B71" s="15">
        <v>44686</v>
      </c>
      <c r="C71">
        <v>7</v>
      </c>
      <c r="D71" t="str">
        <f>Table13[[#This Row],[Nanopore_Run]] &amp; "_" &amp; Table13[[#This Row],[Barcode_ID]]</f>
        <v>1_7</v>
      </c>
      <c r="E71">
        <v>1018</v>
      </c>
      <c r="F71">
        <f>IF(COUNTIF($D$8:D71, D71)=1, Table13[[#This Row],[Reads count]], 0)</f>
        <v>1018</v>
      </c>
      <c r="G71" s="16">
        <v>87.565725049115628</v>
      </c>
      <c r="H71" t="s">
        <v>121</v>
      </c>
      <c r="I71" s="1" t="s">
        <v>122</v>
      </c>
      <c r="J71" t="s">
        <v>35</v>
      </c>
      <c r="K71" t="str">
        <f t="shared" si="1"/>
        <v>1_7_AmRC / iLSUr</v>
      </c>
      <c r="L71">
        <v>3</v>
      </c>
      <c r="M71" t="s">
        <v>26</v>
      </c>
      <c r="N71" t="s">
        <v>36</v>
      </c>
      <c r="O71" t="s">
        <v>28</v>
      </c>
      <c r="P71" s="14">
        <v>4200</v>
      </c>
      <c r="Q71" s="1" t="s">
        <v>37</v>
      </c>
      <c r="R71">
        <v>4</v>
      </c>
      <c r="S71">
        <f>IF(COUNTIF($K$8:K71, K71)=1, Table13[[#This Row],[Cutadapt_Metrics_Total_Reads]], 0)</f>
        <v>4</v>
      </c>
      <c r="T71" s="2">
        <f>(Table13[[#This Row],[Cutadapt_Metrics_Total_Reads]]/Table13[[#This Row],[Reads count]])*100</f>
        <v>0.39292730844793711</v>
      </c>
      <c r="U71" t="s">
        <v>43</v>
      </c>
      <c r="V71" t="str">
        <f>Table13[[#This Row],[Amplicon_consensus]] &amp; "_Run" &amp; A71 &amp; "_Barcode" &amp; C71 &amp; "_" &amp; Table13[[#This Row],[Host]] &amp; "_" &amp; Table13[[#This Row],[Primers]]</f>
        <v>&gt;consensus_cl_id_0_total_supporting_reads_1_Run1_Barcode7_Gryllus sigillatus_AmRC / iLSUr</v>
      </c>
      <c r="W71">
        <v>1</v>
      </c>
      <c r="X71" s="17">
        <f>(Table13[[#This Row],[Supported_by_x_reads]]/Table13[[#This Row],[Cutadapt_Metrics_Total_Reads]])*100</f>
        <v>25</v>
      </c>
      <c r="Y71" t="s">
        <v>479</v>
      </c>
      <c r="Z71">
        <f>LEN(Table13[[#This Row],[Sequence]])</f>
        <v>4211</v>
      </c>
      <c r="AA71" t="s">
        <v>66</v>
      </c>
      <c r="AB71" t="s">
        <v>417</v>
      </c>
      <c r="AC71">
        <v>68</v>
      </c>
      <c r="AD71">
        <v>96</v>
      </c>
      <c r="AE71" t="s">
        <v>67</v>
      </c>
      <c r="AF71" t="s">
        <v>54</v>
      </c>
      <c r="AG71" t="s">
        <v>31</v>
      </c>
      <c r="AH71" t="s">
        <v>31</v>
      </c>
    </row>
    <row r="72" spans="1:36" ht="14.5" x14ac:dyDescent="0.35">
      <c r="A72" s="22">
        <v>1</v>
      </c>
      <c r="B72" s="15">
        <v>44686</v>
      </c>
      <c r="C72">
        <v>7</v>
      </c>
      <c r="D72" t="str">
        <f>Table13[[#This Row],[Nanopore_Run]] &amp; "_" &amp; Table13[[#This Row],[Barcode_ID]]</f>
        <v>1_7</v>
      </c>
      <c r="E72">
        <v>1018</v>
      </c>
      <c r="F72">
        <f>IF(COUNTIF($D$8:D72, D72)=1, Table13[[#This Row],[Reads count]], 0)</f>
        <v>0</v>
      </c>
      <c r="G72" s="16">
        <v>87.565725049115628</v>
      </c>
      <c r="H72" t="s">
        <v>121</v>
      </c>
      <c r="I72" s="1" t="s">
        <v>122</v>
      </c>
      <c r="J72" t="s">
        <v>35</v>
      </c>
      <c r="K72" t="str">
        <f t="shared" ref="K72:K103" si="2">A72 &amp; "_" &amp; C72 &amp; "_" &amp; TRIM(J72)</f>
        <v>1_7_AmRC / iLSUr</v>
      </c>
      <c r="L72">
        <v>3</v>
      </c>
      <c r="M72" t="s">
        <v>26</v>
      </c>
      <c r="N72" t="s">
        <v>36</v>
      </c>
      <c r="O72" t="s">
        <v>28</v>
      </c>
      <c r="P72" s="14">
        <v>4200</v>
      </c>
      <c r="Q72" s="1" t="s">
        <v>37</v>
      </c>
      <c r="R72">
        <v>4</v>
      </c>
      <c r="S72">
        <f>IF(COUNTIF($K$8:K72, K72)=1, Table13[[#This Row],[Cutadapt_Metrics_Total_Reads]], 0)</f>
        <v>0</v>
      </c>
      <c r="T72" s="2">
        <f>(Table13[[#This Row],[Cutadapt_Metrics_Total_Reads]]/Table13[[#This Row],[Reads count]])*100</f>
        <v>0.39292730844793711</v>
      </c>
      <c r="U72" t="s">
        <v>88</v>
      </c>
      <c r="V72" t="str">
        <f>Table13[[#This Row],[Amplicon_consensus]] &amp; "_Run" &amp; A72 &amp; "_Barcode" &amp; C72 &amp; "_" &amp; Table13[[#This Row],[Host]] &amp; "_" &amp; Table13[[#This Row],[Primers]]</f>
        <v>&gt;consensus_cl_id_1_total_supporting_reads_2_Run1_Barcode7_Gryllus sigillatus_AmRC / iLSUr</v>
      </c>
      <c r="W72">
        <v>2</v>
      </c>
      <c r="X72" s="17">
        <f>(Table13[[#This Row],[Supported_by_x_reads]]/Table13[[#This Row],[Cutadapt_Metrics_Total_Reads]])*100</f>
        <v>50</v>
      </c>
      <c r="Y72" t="s">
        <v>123</v>
      </c>
      <c r="Z72">
        <f>LEN(Table13[[#This Row],[Sequence]])</f>
        <v>4095</v>
      </c>
      <c r="AA72" t="s">
        <v>481</v>
      </c>
      <c r="AB72" t="s">
        <v>482</v>
      </c>
      <c r="AC72">
        <v>77</v>
      </c>
      <c r="AD72">
        <v>91.4</v>
      </c>
      <c r="AE72" t="s">
        <v>67</v>
      </c>
      <c r="AG72" t="s">
        <v>32</v>
      </c>
      <c r="AH72" t="str" cm="1">
        <f t="array" ref="AH72">ReverseComplement(Table13[[#This Row],[Sequence]])</f>
        <v>GCACCACCAGGAGTGGAGCCTGCGGCTTAATTTGACTCCCGCAACACGGGGAAACTCACCAGGTCCAGACACAATAAGGATTGACAGATTGAGAGCTCTTTCTTGATTTTGTGGGTGGTGGTGCATGGCCGTTCTTAGTTGGTGGATAATTTGTCTGCTTAATTGCGATAACGAACGAGACCTTAACCTACCTAAATAGTGCTGCTAGCTTTTGCCGGTATAGTCACTTCTTAGAGGGACTATCGATTTCAAGTCGATGGAAGTTTGAGGCAATAACAGGTCTGTGATGCCCTTAGACGTTCTGGGCCGCACGCGCGCTACATTCGACGGAGCCAACGAGTATTAACCTTGGCCGAGAGGTCTGGGAAATTCAGAAACCTTCCGTCGTGCTGGGGATAGAGCATTGCACTCATTGCTCTTCAACGAGGAATTCCTAGTAAGCGCAAGTCATCAGCTTGCGTTGATTACGTCCCTGCCCTTTGTACACACCGCCCGTCGCTACTACCGATTGAATGGCTTAGTGAGGCCTCCGGATTGGTTTAAAGAAGGGGGCAACTCCATCTTGGAACCGAAAAGTTGGTCAACTTGGCTGGCTTAGAGGAAGTAAAAGTCGTAACAAGGTTTCCGTAGGTGAACCTGGTGTGGAAGGATCATTACAGTATTCCTTGCCAGCGCTTAATTGCGCGGCGAAAAAACCTACACACAGTGTTTTTTGTTATTACAAGAACTTTTGCTTTGGTCTGGACTAGAAATAGTTTGGGCCAGAGGTTTACTGAACTAAACTTCAATATTTATATTGAATTGTTATTTATTTAATTGTCAATTTGTTGATTAAATTCAAAAAATCTTCAAAACTTTCAACAACGGATCTCTTGGTTCTCGCATCGATGAAGAACGCAGCGAAATGCGATAAGTAATACAATTCTTGTGATTTTCGTGAATCATCGAATCTTTGAACGCACATTGCGCCCTCTGGTATTCCAGAGGGCATGCCTGTTTGAGCGTCATTTCTCTCCTCAACCACCTTCGGGCTTTGGCATTGGTGGATACTCTTAGTCGAACTAGGCGTTTGCTTGAAATGTATTGGCAATGAGTGGTACTGACAGTGCTATATGACTTTCAATGTATTAGGTTTATCCAACTCGTTGAATAGTTTAATGGTATATTTCTCGGTATTCTAGGCTCGGCCTTACAATATAACAAACAAGTTTGACCTCAAATCAGGTAGGATTACCCGCTGAACTTAAGCATATCAATAAGCGGAGGAAAAGAAACCAACAGGGATTGCCTTAGTAACGGCGAGAGTGAAGCGGCAAAAGCTCAAATTTGAAATCTGGCACCTTCGGTGTCCGAGTTGTAATTTGAAGAAGGTAACTTTGGAGTTGGCTCTTGTCTATGTTCCTTGGAACAGGACGTCACAGAGGGTGAGAATCCCGTGCGATGATGCCCAATTCTATGTAAGTGCTTTCGAAGAGTCGAGTTGTCGGGAATGCAGCTCTGCGGGTGGTAAATTCCATCTAAAGCTAAATATTGGCGAGAGACCGATAGCGAACAAGTACAGTGATGGAAAGATGAAAAGAACTTTGAAAAGAGAGTGAAAAAGTACGTGAAATTGTTGAAAGGGAAGGGCTTGAGATCAGACTTGTATTTTGCGATCCTTTCCTTCTTGGTTCTCGGCAGCCGTTTACACCTGGGCCAGCATCGGTTTGGGTGGTAGGACAATGGCTCGGAAGGTGGCCCCTAGGGGAGTGTTATAGCCGAGGTTGAAACTGCGACCTGCCTAGACCGAGGACCGCGCTTCGGCTCGGACGTTGGCATAATGATCGTAAACGACCCGTCTTGAAACACGGACCAAGGAGTCTAACATCTACGCGAGTGTTCGGGTGTAAACCCGTACGCGTAGTGAAAGCGAACGTAGGTGAGAGCCCCTAACGGGTGCACCATCGACCGATCCTGATGTCTTCGGATGGATTTGAGTAAGAGCACAGCTGTTGGGACCCGAAAGATGGTGAACTATGCCTGAATAGTGGAAGCCAGAGGGAAACTCTGGTGGAGGCTCGTAGCGGTTCTGACGTGCAAATCGATCGTCGAATTTGGGTATAGGGGGCGAAGACTAATCGAACCATCTAGTAGCTGGTTCCCGCCGAAGTTTCCTCAGGATAGCAGAAACGCGTATCAGTTTTATGAGGTAAAGCGAATGATTAGAGGCCTTGGGGTTGAAACGACCTTAACCTATTCTCAAACTTTAAATATGTAAGAAGCCCTTGTTGCTTAATTGAACGTGGACATTAGAATGAAGCGTTACTAGTGGGCCATTTTGGTAAGAAACTGGCGATGCGGGACAACCGGACGCAGGTTAGCGTCCGGAACACACGCTCATCAGACACCACAAAAGGTGTTAGTTCATCTAGACAGCCCGACGGTGTCTATGGAAGTCGGAATCCGCTAAGAAATGTAACAACTCACCCGCCGAATGAACTAGCCCAGAAAATGGATGGCGCTTAAGCCCGTGTTACCCATACCTCGCCGTCAGGGTGATACGATGCCCTGACGAGTAGGCGGCGTGGGGGTCCGTGACTAAGCCTTGGAAGTGATCCCGGGTCGAACGGCCCCAAGTGCAGATCTTGGTGGAGAGCAAATACTCAAACGAGAACTTTGAAGACTGAAGTGGGGAAAGGTTCCATGAACAGCAGTTGGACATGGGTTAGTCGATCCTAAGGCATGGGGAAGCTCCGTTTGAAAGACGACCTCAGTCGCCGTGGCCGAAAGGGAATCCGGTTAAAATTCCGGCACCTAGATGTGGATTCTCCACGGTAACGTAACTGAACGCGGACGTCGGCGTGGGCCCTGGGAGGAGTTCTCTTTTCTTAAGAGCTATCACCCTGAAATCGGTTTATCCGGAGACAGGGTCTATGGCTGGAAGAGCGCAATACTTTTGCGGCGTCCGGTGCGCTCCCGACGATCCTTGAAAATCCACAGGAAGGAATAGTTTTCACGCTAAGTCGTACTCATAACCGCAGCAGGTCTCCAAGGTGAACAGCCTCTAGTTGATAGAACAATGTAGATAAGTGAAGTCGGCAAAATGGATCCGTAACTTCGGGATAAGGATTGGCTCTAAGGATCGGGTGGCTGGGCCTTGCGCGGGAACTGAGGTAGGACTCTAGCCGAGCAACCCACCGGAGCCCCGCAGCACCGGAGTTGGGACGCCTTTGGTAGGCTTCGGCCGTCCGGCGCACGATTAACGACCAACTAGGAACTGGTACGGACAAGGGGAATCTGACTGTCTAATTAAAACATAGCATTGCGATGGCCGGAGTGATGTTGACGCAATGTGATTTCTGCCCAGTGCTCTGAATGTCAAAGTGAAGAAATTCAACCAAGCGCGGGTAAACGGCGGGAGTAACTATGACTCTCTTAAGGTAGCCAAATGCCTCGTCATCTAATTAGTGACGCGCATGAATGGATTAACGAGATTCCCACTGTCCCTATCTACTATCTAGCGAAACCACAGCCAAGGGAACGGGCTTGGCAGAATCAGCGGGGAAAGAAGACCCTGTTGAGCTTGACTCTAGTTTGACATTGTGAAAAGACATATGGGGTGTAGTATAGGTGGGAGCTCCGGCGCCAGTGAAATACCACTACCTTATAGTTTTTACTTATTCAATGAAGCGGAGCCGGGCTTCACCGCCCACGTTCTAGCATTAAGGTCTCTTCGGGGGCCGATCCGGGTTGAAGACATTGTCAGGTGGGGAGTTTGGCTGGGGCGGCACATCTGTTAAACGACAACGCAGGTGTCCTAAGGGGGGCTCATGGAGAACAGAAATCTCCAGTAGAACAAAAGGGTAAAAGCCCCCTTGGATTTTGATTTTCAGTGTGAATACAACCTGAAAGTGTGGCCTATCGATCCTTTAGATCCCTCGAAATTTGAGGCTAGAGGTGCCAGAAAAGCTACCACAGGGATAACTGGCTTGTGGCAGCCAAGCGTTCATAGCGACATTGCTTTTTGATCCTTCGGATGTCGGCTCTTCCTATCATACCGAAGCAGAAATCGGTAAGCGTTGGATTGTTCACCCACTAATAGGGAACGTGAGCTGG</v>
      </c>
    </row>
    <row r="73" spans="1:36" ht="14.5" x14ac:dyDescent="0.35">
      <c r="A73" s="22">
        <v>1</v>
      </c>
      <c r="B73" s="15">
        <v>44686</v>
      </c>
      <c r="C73">
        <v>7</v>
      </c>
      <c r="D73" t="str">
        <f>Table13[[#This Row],[Nanopore_Run]] &amp; "_" &amp; Table13[[#This Row],[Barcode_ID]]</f>
        <v>1_7</v>
      </c>
      <c r="E73">
        <v>1018</v>
      </c>
      <c r="F73">
        <f>IF(COUNTIF($D$8:D73, D73)=1, Table13[[#This Row],[Reads count]], 0)</f>
        <v>0</v>
      </c>
      <c r="G73" s="16">
        <v>87.565725049115628</v>
      </c>
      <c r="H73" t="s">
        <v>121</v>
      </c>
      <c r="I73" s="1" t="s">
        <v>122</v>
      </c>
      <c r="J73" t="s">
        <v>35</v>
      </c>
      <c r="K73" t="str">
        <f t="shared" ref="K73:K136" si="3">A73 &amp; "_" &amp; C73 &amp; "_" &amp; TRIM(J73)</f>
        <v>1_7_AmRC / iLSUr</v>
      </c>
      <c r="L73">
        <v>3</v>
      </c>
      <c r="M73" t="s">
        <v>26</v>
      </c>
      <c r="N73" t="s">
        <v>36</v>
      </c>
      <c r="O73" t="s">
        <v>28</v>
      </c>
      <c r="P73" s="14">
        <v>4200</v>
      </c>
      <c r="Q73" s="1" t="s">
        <v>37</v>
      </c>
      <c r="R73">
        <v>4</v>
      </c>
      <c r="S73">
        <f>IF(COUNTIF($K$8:K73, K73)=1, Table13[[#This Row],[Cutadapt_Metrics_Total_Reads]], 0)</f>
        <v>0</v>
      </c>
      <c r="T73" s="2">
        <f>(Table13[[#This Row],[Cutadapt_Metrics_Total_Reads]]/Table13[[#This Row],[Reads count]])*100</f>
        <v>0.39292730844793711</v>
      </c>
      <c r="U73" t="s">
        <v>350</v>
      </c>
      <c r="V73" t="str">
        <f>Table13[[#This Row],[Amplicon_consensus]] &amp; "_Run" &amp; A73 &amp; "_Barcode" &amp; C73 &amp; "_" &amp; Table13[[#This Row],[Host]] &amp; "_" &amp; Table13[[#This Row],[Primers]]</f>
        <v>&gt;consensus_cl_id_2_total_supporting_reads_1_Run1_Barcode7_Gryllus sigillatus_AmRC / iLSUr</v>
      </c>
      <c r="W73">
        <v>1</v>
      </c>
      <c r="X73" s="17">
        <f>(Table13[[#This Row],[Supported_by_x_reads]]/Table13[[#This Row],[Cutadapt_Metrics_Total_Reads]])*100</f>
        <v>25</v>
      </c>
      <c r="Y73" t="s">
        <v>480</v>
      </c>
      <c r="Z73">
        <f>LEN(Table13[[#This Row],[Sequence]])</f>
        <v>4050</v>
      </c>
      <c r="AA73" t="s">
        <v>366</v>
      </c>
      <c r="AB73" t="s">
        <v>365</v>
      </c>
      <c r="AC73">
        <v>56</v>
      </c>
      <c r="AD73">
        <v>95.1</v>
      </c>
      <c r="AE73" t="s">
        <v>47</v>
      </c>
      <c r="AF73" t="s">
        <v>54</v>
      </c>
      <c r="AG73" t="s">
        <v>31</v>
      </c>
      <c r="AH73" t="s">
        <v>31</v>
      </c>
    </row>
    <row r="74" spans="1:36" ht="14.5" x14ac:dyDescent="0.35">
      <c r="A74" s="22">
        <v>1</v>
      </c>
      <c r="B74" s="15">
        <v>44686</v>
      </c>
      <c r="C74">
        <v>7</v>
      </c>
      <c r="D74" t="str">
        <f>Table13[[#This Row],[Nanopore_Run]] &amp; "_" &amp; Table13[[#This Row],[Barcode_ID]]</f>
        <v>1_7</v>
      </c>
      <c r="E74">
        <v>1018</v>
      </c>
      <c r="F74">
        <f>IF(COUNTIF($D$8:D74, D74)=1, Table13[[#This Row],[Reads count]], 0)</f>
        <v>0</v>
      </c>
      <c r="G74" s="16">
        <v>87.565725049115628</v>
      </c>
      <c r="H74" t="s">
        <v>121</v>
      </c>
      <c r="I74" s="1" t="s">
        <v>122</v>
      </c>
      <c r="J74" t="s">
        <v>48</v>
      </c>
      <c r="K74" t="str">
        <f t="shared" si="3"/>
        <v>1_7_KinetRC / iLSUr</v>
      </c>
      <c r="L74">
        <v>2</v>
      </c>
      <c r="M74" t="s">
        <v>26</v>
      </c>
      <c r="N74" t="s">
        <v>49</v>
      </c>
      <c r="O74" t="s">
        <v>28</v>
      </c>
      <c r="P74" s="14">
        <v>2000</v>
      </c>
      <c r="Q74" s="1" t="s">
        <v>257</v>
      </c>
      <c r="R74">
        <v>4</v>
      </c>
      <c r="S74">
        <f>IF(COUNTIF($K$8:K74, K74)=1, Table13[[#This Row],[Cutadapt_Metrics_Total_Reads]], 0)</f>
        <v>4</v>
      </c>
      <c r="T74" s="2">
        <f>(Table13[[#This Row],[Cutadapt_Metrics_Total_Reads]]/Table13[[#This Row],[Reads count]])*100</f>
        <v>0.39292730844793711</v>
      </c>
      <c r="U74" t="s">
        <v>124</v>
      </c>
      <c r="V74" t="str">
        <f>Table13[[#This Row],[Amplicon_consensus]] &amp; "_Run" &amp; A74 &amp; "_Barcode" &amp; C74 &amp; "_" &amp; Table13[[#This Row],[Host]] &amp; "_" &amp; Table13[[#This Row],[Primers]]</f>
        <v>&gt;consensus_cl_id_0_total_supporting_reads_3_Run1_Barcode7_Gryllus sigillatus_KinetRC / iLSUr</v>
      </c>
      <c r="W74">
        <v>3</v>
      </c>
      <c r="X74" s="17">
        <f>(Table13[[#This Row],[Supported_by_x_reads]]/Table13[[#This Row],[Cutadapt_Metrics_Total_Reads]])*100</f>
        <v>75</v>
      </c>
      <c r="Y74" t="s">
        <v>125</v>
      </c>
      <c r="Z74">
        <f>LEN(Table13[[#This Row],[Sequence]])</f>
        <v>4918</v>
      </c>
      <c r="AA74" t="s">
        <v>366</v>
      </c>
      <c r="AB74" t="s">
        <v>365</v>
      </c>
      <c r="AC74">
        <v>46</v>
      </c>
      <c r="AD74">
        <v>98.1</v>
      </c>
      <c r="AE74" t="s">
        <v>47</v>
      </c>
      <c r="AF74" t="s">
        <v>32</v>
      </c>
      <c r="AG74" t="s">
        <v>32</v>
      </c>
      <c r="AH74" t="str" cm="1">
        <f t="array" ref="AH74">ReverseComplement(Table13[[#This Row],[Sequence]])</f>
        <v>ATATGCTTGTTTCAAAGATTAAGCCATGCAAGTCTAAGTATAAGCTTTTAAAGCGGCAAAACTGCGAATAGCTCATTACAACAGTTATAATCTACACGAAGATCATTACCAAATGGATATCCACGGTAATTCTGGAGCTAATACATGCAAAAACACCCCCCTTCGTAGAAGGGTGGCATTCATTAGCATTGGAACCATCCAGGTTTTCGGACCTGTTCTTGGTGATCATAATGACCGAGCGGATCGCATCTTGCGACAGTTCGTTCGAGTTTCTGACCTATCAGCTCCCCGTCGGTAGGGTATTGGCCCTACCGAGGCTGTGACGGGTAACGGGGAATTAGGTTCGATTCCGGAGAGGGAGCCTGAGAGACGGCTACCACATCTAAGGATGGCAGCAGGCGCGCAAATTACCCAATCCCGATACGGGGAGGTAGTGACCAGAAATAGCAACTCAGGACCTTCGGTTCTGTGATTGCAATGAGCGGAAAGCAAAACTATTTGCGAGTACCTATTGGAGGGCAAGTCTGGGCCAGCAGCCGCGGTAATTCCAGCTCCAATAGCGTATATTAAAATTGCTGCAGTTAAAGCGTCCGTAGTTGATTTCGTCCAAATCGGAGAGACGCCTGTCTGACTTCGTGTTAGCTGTGCACTTTCTGTTTCGGACTCGGGTGGGATAGCTTCGGCTGTACCGCTCCCTTGTTACTTTGGAGCAAATTGGAGTGCTCCAACCAGGCTATAGCTTAAACAGCTCAGCATGGAATAACAATATAGGACTGTGATCCTCCTTGTTGGTGACGTGGAACACAAGTAATGGTTGATAAGGACATACGGGGGCATCTGTACTTGAAGGAGAGAGGTGAAATTCTAAGACCCAGCAAAGACAAACAAGTGCGAAAGCATTTGCCCAGTGTGTGCCTGTTAATCAAGGACGAAGTTGGGGGATCGAAGACGCTTAGATACCGTCGTAGTCCCAACTATAAACTATGCCGACTGAGGATCGGAGGCTGTACAGAATACGACTCCTTCGGCACTCCAAGAGAAATCTAAGTCTCTGGGCCCTGGGGGAGTATGGTCGCAAGGCTGAAACTTAAGGGAATTGACGGAAGGGCACCACCAGGAGGGAGCCTGCGGCTTAATTTGACTCAACGCGGGAACCTCACTCAGGCCCGGACATAGTCATGATTGGACAGATTGAGAGTTCTTCGATTCTATGGGTGGTGGTGCATGGCCGTTCTTAGTCGGTGAGGTGACTTGTCTGGTTAATTCCGATAACGGACGAGAACTGACCTACTAACTAGCCTTCGTTTACTTCTGTAAGCGATTGGCTTCTTAGAGGGACTTTGTGAGACTATCACAAGGAAGTTCGAGCCTATAACAGGTCTGTGATGCCCTTAGATGGCCTGGGCTGCACGTGCGCTACAATGACGGAGTCAGCGAGTTTCTACCCTACTCCGTACGGAGCGGGAAATCTTGTGAAACTCCGTCGTGATAGGGATTGACCTTTGCAATTATGGGTCATGAACGAGGAATTCCTAGTATGGACAAGTCATCACCTTGTGCTGATTACGTCCCTGCCCTTTGTACACACCGCCCGTCGCTTCAACCGATTGGATGATCCGGCAAATTACATGGACTTACGTAGCTGCTTTGTTCTACATCGCTCTTCGTGAGGAAATGTTGTGAGCCTTATCATCTAGAGGATGAAGAAGTCGTAACACGGTATCCGTAGGTGAACCTGCGGATGGATCATTCCTGTTTAAACAACAACCAACCAAGCACTCAATGTTAATAACATGACTTAAATCATTGAATAATGAGAATTAAAAACTCTCAGCGATGGATGACTCGACTCTCACACCGAGGAAGGACGCAGCAAACCGCGATAAGCAGTATGACTTGCGAAATTTCGTGATTCACCAGATCTCTGAACGCAAAGGTACTTCTGGCCTCGGCCTGAAGTATGTTTGGCTCGGTATCGTATAGATTTCTCCAATCAATTTCGATTGAATGGATGACATACAGTGTCCTTTACGTCACTGGCTAAATGATGCTACCTGTAAGAACTCATACAGTGAAATGTTGAGGTAATTACAGTAGGCTTCTCAAATCATGATCCGAGCTCAAGAAGGCTACCCGCTGAATTTAAGCATATAATTAAGCGGAGGAAAAGAAACCAACTGGGATTCCCGTAGTAGTGGCGAACGAAGTGGGAAGAGCCCGCGATGTTAATCCGTTTCTGACGGAGTTGCGCATCGAGGTTATAGCTATTGAGAAACTGGGAAGAAGATGCCTGAAAGGCACGCCAGAGAAGGTGACAGCCCTGTTCTTATTCCAGCCATTCTCAAGTACAGCTTAAATCTAATGAGTCACGCTCTTTGGGAGTAGAGCGCAAAATGGGTGGTAACCTCCATCCACGGCTAGATAACGGTGAGAGATCGATAGCAAACAAGTACCGTGAGGGAAAGTTGAAAAGCACTTCGAAAGGAGAGTTAAAAATACCTGAAATCGCTGAGGGGGAAGCGGCTGTCCGTGACCCAATGTTTGAGAGATTTCTCTCATTACATTACTCGACATCACTTCCGTATGTTATGACTTGCTGTCGCTTCGGCTATAACTTTGTTCTTAACATCGAGAAGTGTGGTACGCCTTTGCAAGTTGTCGAGAGTGGCATGTACAGACGACCCGTCTTGAAACACGGACCAAGGAGTTAAACGAAAGTGCGAGTGTAGTGTCAAACCCAGACGCGTAGTGAAAGCAAAAGCTGTGAATTACAATGCAACAGCAGCCGACTCTTGAAGTTCGAGCCTGAGCATTTTCGTTTAGACCCGAAAGATGGTGACCTATACCTGAGTTGGGTGAAGCCAGGGGAAACCCTGGTGGAAGCTCGTAGCGATACTGACGTGCAAATCGTTCGTCAAACTTGGGCATAGGGGCGAAAACTAATCGAACCATCTAGTAGCTGGTTCCTCCGAAGTTTCTCAGGATAGCTGGGTTAATGATCAGTTAGATCCGGTAAAGCGAATGATTAGAGGCCTCGGGGGCATCCCGCCCTCGACCTATTCTCAAACTTTAAATGGGTTTGCTACCTTGCTAATTCAGTTAGCTCGGTAGATGAATGATACTTCTTAGTGGGCCAGTTTGGTAAGCAGAACTGGCGATGAGGGATGCTCCTAACGTTTGGTTAAGGCGCTCAACACTCGCTGATCAGACACCATAAAAGGTGTTGGTTCATTGAAACAGCAGGGCGGTGGTCATGGAAGTTGAAATCCGCTAAGGAGTGTAATAACTCACCTGCCGAATGGACCAGCCCTGAAAATGGATAGCGCTCAAGCGGGCGGCCGATACCAAACCGTCAATGAAATTAGCATTGACGTGTAGGAGGGCGTGGGGGTTGCTGAGAAGGCTTAGTTGTGAAACTAGCTGGAGCAGCCTCTAGTGCAGATCTGGTGGTAGTAGCAATTAATCAAATGAGAACTTTGATGACCGAAGTGGATAAGGGTTCCGGGAGAACAGCAATTGTCCTCGGGTTAGTCGGCCCTAAAGGAAAAGCTTACCTTCAGAGAGTGAGGCTCGCCTCTTGACCTGAAAGGGAAAAAGGCCCAAATTCCTTTACTAGTTGGTGGGGTTGTGGTAACACAACTGAACTTGGGTTGCCAGGAGAAGCCCTGGGGAGCGTTATCTTTGCTCTTTGACAACACCACTCCTTTGAATCGGCTTGTCTGGAGAAAAGGATGAAAAGTTGGCATAGTTTCTTACACCTGTTGGAAATCCGGTGCGCTTCTATTGGCCTTTGAAACCCCAAGGGATATTTACTCCACTTTCTAGCCGTACCCTAAACCGCATCAGGTCTCCTAGGTTCGCAGCCTCTGGTCGATAGAATAAGGCGGATGAGGGAAGTCGGCAAATTAGATCTGTACCTTTGGAAAAAGGATTGGCTCTGAGGGCCGAGCTTTCAGGGCCTAGTGACAGTTCATCGTTCTCGCTTTTCTTGGAGTGGGTTTATCAAGCTTGGGAGTTGCAACGAGCGGTGGCCTACGCTAGGAGCTTCGGCTATCCTGTTGGCATTAACCGGCTAACTCAGAACTGGTACGGACAAGAGGAATCTGACTGTTTAATTAAACAAAGCATTGCGACAAGCGGCAACGCTTTTTACGCAATGTGATTTCTGCCCAGTGCTCTGAATGTCATTGCGATGAAATTCGCCCAAGCGCGGGTAAACGGCGGGGAGTAACTATGACTCTCTTAAGGTAGCCAAATGCCCCGTCATTTAATTAGTGACGCGCATGAATGGATCAACGAGATTCCTACTGTCCCCATCCGCCATCTAGCGAAACCACAGCCAAGGGAACGGGCTTGGCAAAATAAGCGGGGAAAGAAGACCCTGTTGAGCTTGACTCTAGTCTGACTTTGTGGAGTGACTTGGGGGTGTAGCATACGTGGGAGCTTTGGCGACAGTGAAATACCACGACCTCCACTGTCGCTCTACTTACTTGTCACAACGAATCACGTTTTCTTACGTGTTCTAGATTTAAGGTTCTCTCTTACCGATCGTATCAGAGGACATATTCAGATGGGGAGTTGGGGGGCGGCACATCTGCTAAACTGCAACGCAGATGCCCTAAGGTTGACTCAGAGAGAACAGAAATCTCTCGTAGACTGAAAGGGGAAAAGTCAGCTTGATTCTGATTTCCAGTGCAAGAATACGAACTGCGAAAGCATGGCCTATCGATCCTTTAAGTCCAGAAAGGTTCTGGCTAGAGGTGACAGAAAAGTTACCACAGGGATAACTGGCTTGTGGCAGCCAAGCGTTCATAGCGACGTTGCTTTTTGATCCTTCGATGTCGGCTCTTCCTATCATTGAGACGCAGAAGTCTCAAAATGTCGGATTGTTCACCTGCTAATAGGGAACGTGAGCTGG</v>
      </c>
    </row>
    <row r="75" spans="1:36" ht="14.5" x14ac:dyDescent="0.35">
      <c r="A75" s="22">
        <v>1</v>
      </c>
      <c r="B75" s="15">
        <v>44686</v>
      </c>
      <c r="C75">
        <v>7</v>
      </c>
      <c r="D75" t="str">
        <f>Table13[[#This Row],[Nanopore_Run]] &amp; "_" &amp; Table13[[#This Row],[Barcode_ID]]</f>
        <v>1_7</v>
      </c>
      <c r="E75">
        <v>1018</v>
      </c>
      <c r="F75">
        <f>IF(COUNTIF($D$8:D75, D75)=1, Table13[[#This Row],[Reads count]], 0)</f>
        <v>0</v>
      </c>
      <c r="G75" s="16">
        <v>87.565725049115628</v>
      </c>
      <c r="H75" t="s">
        <v>121</v>
      </c>
      <c r="I75" s="1" t="s">
        <v>122</v>
      </c>
      <c r="J75" t="s">
        <v>48</v>
      </c>
      <c r="K75" t="str">
        <f t="shared" si="3"/>
        <v>1_7_KinetRC / iLSUr</v>
      </c>
      <c r="L75">
        <v>2</v>
      </c>
      <c r="M75" t="s">
        <v>26</v>
      </c>
      <c r="N75" t="s">
        <v>49</v>
      </c>
      <c r="O75" t="s">
        <v>28</v>
      </c>
      <c r="P75" s="14">
        <v>2000</v>
      </c>
      <c r="Q75" s="1" t="s">
        <v>257</v>
      </c>
      <c r="R75">
        <v>4</v>
      </c>
      <c r="S75">
        <f>IF(COUNTIF($K$8:K75, K75)=1, Table13[[#This Row],[Cutadapt_Metrics_Total_Reads]], 0)</f>
        <v>0</v>
      </c>
      <c r="T75" s="2">
        <f>(Table13[[#This Row],[Cutadapt_Metrics_Total_Reads]]/Table13[[#This Row],[Reads count]])*100</f>
        <v>0.39292730844793711</v>
      </c>
      <c r="U75" t="s">
        <v>354</v>
      </c>
      <c r="V75" t="str">
        <f>Table13[[#This Row],[Amplicon_consensus]] &amp; "_Run" &amp; A75 &amp; "_Barcode" &amp; C75 &amp; "_" &amp; Table13[[#This Row],[Host]] &amp; "_" &amp; Table13[[#This Row],[Primers]]</f>
        <v>&gt;consensus_cl_id_3_total_supporting_reads_1_Run1_Barcode7_Gryllus sigillatus_KinetRC / iLSUr</v>
      </c>
      <c r="W75">
        <v>1</v>
      </c>
      <c r="X75" s="17">
        <f>(Table13[[#This Row],[Supported_by_x_reads]]/Table13[[#This Row],[Cutadapt_Metrics_Total_Reads]])*100</f>
        <v>25</v>
      </c>
      <c r="Y75" t="s">
        <v>477</v>
      </c>
      <c r="Z75">
        <f>LEN(Table13[[#This Row],[Sequence]])</f>
        <v>5087</v>
      </c>
      <c r="AA75" t="s">
        <v>400</v>
      </c>
      <c r="AB75" t="s">
        <v>478</v>
      </c>
      <c r="AC75">
        <v>44</v>
      </c>
      <c r="AD75">
        <v>95.5</v>
      </c>
      <c r="AE75" t="s">
        <v>109</v>
      </c>
      <c r="AF75" t="s">
        <v>54</v>
      </c>
      <c r="AG75" t="s">
        <v>31</v>
      </c>
      <c r="AH75" t="s">
        <v>31</v>
      </c>
    </row>
    <row r="76" spans="1:36" ht="14.5" x14ac:dyDescent="0.35">
      <c r="A76" s="22">
        <v>1</v>
      </c>
      <c r="B76" s="15">
        <v>44686</v>
      </c>
      <c r="C76">
        <v>7</v>
      </c>
      <c r="D76" t="str">
        <f>Table13[[#This Row],[Nanopore_Run]] &amp; "_" &amp; Table13[[#This Row],[Barcode_ID]]</f>
        <v>1_7</v>
      </c>
      <c r="E76">
        <v>1018</v>
      </c>
      <c r="F76">
        <f>IF(COUNTIF($D$8:D76, D76)=1, Table13[[#This Row],[Reads count]], 0)</f>
        <v>0</v>
      </c>
      <c r="G76" s="16">
        <v>87.565725049115628</v>
      </c>
      <c r="H76" t="s">
        <v>121</v>
      </c>
      <c r="I76" s="1" t="s">
        <v>122</v>
      </c>
      <c r="J76" t="s">
        <v>25</v>
      </c>
      <c r="K76" t="str">
        <f t="shared" si="3"/>
        <v>1_7_GregRC / iLSUr</v>
      </c>
      <c r="L76">
        <v>5</v>
      </c>
      <c r="M76" t="s">
        <v>26</v>
      </c>
      <c r="N76" t="s">
        <v>27</v>
      </c>
      <c r="O76" t="s">
        <v>28</v>
      </c>
      <c r="P76" s="14">
        <v>3350</v>
      </c>
      <c r="Q76" s="1" t="s">
        <v>47</v>
      </c>
      <c r="R76">
        <v>12</v>
      </c>
      <c r="S76">
        <f>IF(COUNTIF($K$8:K76, K76)=1, Table13[[#This Row],[Cutadapt_Metrics_Total_Reads]], 0)</f>
        <v>12</v>
      </c>
      <c r="T76" s="2">
        <f>(Table13[[#This Row],[Cutadapt_Metrics_Total_Reads]]/Table13[[#This Row],[Reads count]])*100</f>
        <v>1.1787819253438114</v>
      </c>
      <c r="U76" t="s">
        <v>128</v>
      </c>
      <c r="V76" t="str">
        <f>Table13[[#This Row],[Amplicon_consensus]] &amp; "_Run" &amp; A76 &amp; "_Barcode" &amp; C76 &amp; "_" &amp; Table13[[#This Row],[Host]] &amp; "_" &amp; Table13[[#This Row],[Primers]]</f>
        <v>&gt;consensus_cl_id_0_total_supporting_reads_7_Run1_Barcode7_Gryllus sigillatus_GregRC / iLSUr</v>
      </c>
      <c r="W76">
        <v>7</v>
      </c>
      <c r="X76" s="17">
        <f>(Table13[[#This Row],[Supported_by_x_reads]]/Table13[[#This Row],[Cutadapt_Metrics_Total_Reads]])*100</f>
        <v>58.333333333333336</v>
      </c>
      <c r="Y76" t="s">
        <v>473</v>
      </c>
      <c r="Z76">
        <f>LEN(Table13[[#This Row],[Sequence]])</f>
        <v>3600</v>
      </c>
      <c r="AA76" t="s">
        <v>366</v>
      </c>
      <c r="AB76" t="s">
        <v>365</v>
      </c>
      <c r="AC76">
        <v>38</v>
      </c>
      <c r="AD76">
        <v>87.5</v>
      </c>
      <c r="AE76" t="s">
        <v>47</v>
      </c>
      <c r="AF76" t="s">
        <v>32</v>
      </c>
      <c r="AG76" t="s">
        <v>32</v>
      </c>
      <c r="AH76" t="str" cm="1">
        <f t="array" ref="AH76">ReverseComplement(Table13[[#This Row],[Sequence]])</f>
        <v>CCCCCCCCCCCCCCCCCCCCCCCCCCCCCCCCCCCCCCCCCCCCCCCCCCCCCCCCCCCCCCCCCCCCCCCCCCAAATCCGAACAGCACCTGAATTGACGGAAGGGCACCACCAGGAGTGGAGCCTGCGGCTTAATTTGAGTCAACACGGGAATTTTACCAGGCCCGGACATGGTTATGATTGACAGGTGAAGAGATCTTTCTTGATTCTATGGGTGGTGGTGCATGGCCGTTCTTAGTCGGTGAGGTGACTTGTCTGGTTAATTCCGATAACGGACGAGATCTCGGCTGTCTCCTTTCTTCTCATCGTTCCTGAGAAGCTGTATGGAGAAGGACTCTGGGGGTTTTACCCCAGGTAAGATCGAGGCTATAACAGGTCTGTGATGCCCTTAGATGGCCTGGGCTGCACGTGTGCTACAATGACTCTAGCAACAAGCCTTACATTTCGAAAGAAATGTGAAATCACGAAAATAGTGTCGTGTTAGGGATTGAGTTTTGTAATTTTGGCTCATGAACGAGGAATTCCTAGTAAGTATAGTTCATAATACTGTGCTGATTGCGTCCCTGCCCTTTGTACACACCGCCCGTCGCTTCAACCGATTGGATGATCCGGTGAATTCTGTGGACATTTTATATTGGCATTCGCCTTTGTGAAATGGAAGCGGAATAAGCCTTGTCATCTAGAGGATGAAGAAGTCGTAACACGGTATCCGTAGGTGAACCTGCGGATGGATCATTAAAAAAGTGTTAAAAACACACATCATCTAGAAGGATTTTAGGCATTGACAGACATTAATTAACCTATTTAAAGGTTCAGCGATGGATTACTTGGTTTGCAGTTTGATGAAAGATGTGTCAGTCCGCAGTATGGGTGCCGATCTGAGCATTTTCGAAAGCATCATTTCTGAATGTATTGCACTCGTTAGAGTACAATTAGGTCAGTGTTTACGTCTTTGACGTATGAGCGGTTTAAATTCCAGTAATCGTGGAATTCCAAAACTCTTAAGTAAAAACGAATGTTGTTACTTAGAGTAGATAACAAATTGAACCTGATCTAATTGAAGCTACCCTCTGAATTTAAGCATATAATTAAGAGGAGGAAAGGAAAACAACAGTGACATCCTGACTAGCGGCGAGCGAAAGGGATTCAAACTGTCCACGAATCATTGCTTGCAATGACATGTGGGAACAATAGCGGAGCGGGATCTAATTAGTTGTTGAGGTGGAAGACTCAACTGAAAACGGTGACAGGCCTGTTTCTAAGATGAGAACGCAACGTTATGAATAGTAGAGTCAAACTCCTTGAGAGTGGAGTTTAAAGCGGGCGTATCTGTGCTCGAAGTTTAAGTATTACTGCAAAACCGATAGCGAATAAGTACCATGAGGGAAAGTTGAAAAGAACTCCGAGAGGAGCTTCAAAAAACATGAAATCGCTGGGCTGGAAGCATAATCAGGAACCGCCTTGTGCAGCATGGTCATGTTTAAATGGCTGTGTTTGGCTTCTGATTATGACCCGTCTTGAAACACGGACCAAGGAGTTATTAAGCTGTGCAAGTGCTAGGGCAAAAACCCAAGTGCGGAATGAAAGTGATTGCGGAACAAGCAATTCCTGTGAAAATTGTGATAGAGCATAGCTTATTAAACCCGAAAGATGGTGATCTATACTTGGGAAGAGTGAAGCCAGGAGAAATCCTGGTGGAGGCTCAATGTGATACTGACGTGCAAATCGTTCATCCTACCTGAGTATAGGGGCGAAAGACTCATCGAACCATCTAGTAGCTGGTTCCCTCCGAAGTTTCCCTTAGGATAGCTTGAACTTTGAAAAGTAGGTTTCGGTAAAGCTTATGATTAGAGGCACTGGGGACATCTTGGTCCTCGACCTATTCTCAAACTTCAAATGAAATCGATAAAGCCAATTAAGTTGATAATTGGCGGTGACTATGTAAGTTCATAGTGGGCCATTTTTGCAAGCAGAACTGGCGATGAGGGATGCTCCTTAAACGCATATAAGACGTCTAATTTCCGCTTATGACAAACCACAAAGGGTGTTGGTTCATTGAGACAGCAGGACGGTGGTCATGGAAGTTGAAATCCGCTAAGGAGTGTGTAATAACTCACCTGCCGAATGGACCAGCCCCGAAAATTGATGACGGTCAGCGAAAAGTCGATAATGCGTCGTTGTTGCAAAGGAAACAACGTGTAGGAGGGCGTGAATTTACCAGAGAATGTTGTGCGTGAGTGCAACAGGAGGTGAATTTAGTGCAGATCTTGGTGATAGTAGTAAATAGTTGTCTGAGAATGGCAACGGCCTACGTGGATAAGGGTTCCGAAGGAACAGTAGTTGGTTTCGGGTTAGTCGGTTCTAAGGGGTTTATTAGCTCAAATGATTCCTCGAAAGAGAATAAGGCTAATATTCCTTAACTCAAAGGACTTTAGAGTGGTAACACAAAGGGCACTGGGGGGTCCGGAGGAGTGTCGTGAGGCGACGTCTATGCCTTTCAACTCAGATATCTCTCGGAATAATGTTGGTTTGAGAAGAGAGTAAACTGTGAAAGAGGATTCTCATTTGAGAGTCTACGACAACAACTCGGGGCCGTTGAAAAACCAGTGGTCTATGGAGTTCTTGAACCGTACCAATAACTGCAGCAGGTCTCCAAGGTTAGGTACCTTTGGTTTAGCAGAGCAAAGCAGATGAGGGAAGTCGGCAAATTAGATCCGAACCTTCGGTAAAAGGATTGGCTCTGAGGACAGTTATGCTGTCAACTCAGAACTGGTGGACCAGAGGAATCTGACTGTTTAATTAAAACAAAGCATTATGATAGGCTTTACTGCTGTTGACATAATGTGATTTCTGCCCAGTGCTCTGAATGTCACGGTGATGAGATTCACTTAAGCGCGGGTAAACGGCGGGAGTAACTATGACTCTCTTAAGGTAGCCAAATGCCTCGTCATCTAATTAGTGACGCGCATGAATGGATTAACGAGATTCCTACTGTCCCCATCTGCTATCTGGCGAAACCACAGCCAAGGGAACGGGCTTGGCATGATAAGCGGGGAAAGAAGACCCTGTTGAGCTTGACTCTAGTCTGATATTGTGGAATAACCTATGGGGTGTAGCATACGTGGGAGGGCTTGCCCGACAGTGAAATACCACGACCTGTAGCGTTGTTCTGCTTACTTTTAAATGGTGCAGCTCTGTAAAGAGTTGGATGAATGTCGGTTGATAACTCACATCAAAGAGGACATTGTCAGATGGGGAGTTTGGTTGGGGCGGCACATCTGCTAAATTGCAACGCAGATGTCCAAAGGTTGACTCAGAGAGAACAGAAATCTCTCGTAGACTAAAAGGGGAAAAGTCAGCTTGATTCAGAATTTCATTACGATTATGAACTACGAAAGTATGGCCTATCGATCCTTTAAATCCAGAACAGTTCTGGTTAGAGGTGACAGAAAAGTTACCACAGGGATAACTGGCTTGTGGCAGCCAAGCGTTCATAGCGACGTTGCTTTTTGATCCTTCGATGTCGGCTCTTCCTATCATTGGGACGCAGAAGTCTCAAAGTGTCGGATTGTTCACCCGTTTATAGGGAACGTGAGCTGG</v>
      </c>
    </row>
    <row r="77" spans="1:36" ht="14.5" x14ac:dyDescent="0.35">
      <c r="A77" s="22">
        <v>1</v>
      </c>
      <c r="B77" s="15">
        <v>44686</v>
      </c>
      <c r="C77">
        <v>7</v>
      </c>
      <c r="D77" t="str">
        <f>Table13[[#This Row],[Nanopore_Run]] &amp; "_" &amp; Table13[[#This Row],[Barcode_ID]]</f>
        <v>1_7</v>
      </c>
      <c r="E77">
        <v>1018</v>
      </c>
      <c r="F77">
        <f>IF(COUNTIF($D$8:D77, D77)=1, Table13[[#This Row],[Reads count]], 0)</f>
        <v>0</v>
      </c>
      <c r="G77" s="16">
        <v>87.565725049115628</v>
      </c>
      <c r="H77" t="s">
        <v>121</v>
      </c>
      <c r="I77" s="1" t="s">
        <v>122</v>
      </c>
      <c r="J77" t="s">
        <v>25</v>
      </c>
      <c r="K77" t="str">
        <f t="shared" si="3"/>
        <v>1_7_GregRC / iLSUr</v>
      </c>
      <c r="L77">
        <v>5</v>
      </c>
      <c r="M77" t="s">
        <v>26</v>
      </c>
      <c r="N77" t="s">
        <v>27</v>
      </c>
      <c r="O77" t="s">
        <v>28</v>
      </c>
      <c r="P77" s="14">
        <v>3350</v>
      </c>
      <c r="Q77" s="1" t="s">
        <v>47</v>
      </c>
      <c r="R77">
        <v>12</v>
      </c>
      <c r="S77">
        <f>IF(COUNTIF($K$8:K77, K77)=1, Table13[[#This Row],[Cutadapt_Metrics_Total_Reads]], 0)</f>
        <v>0</v>
      </c>
      <c r="T77" s="2">
        <f>(Table13[[#This Row],[Cutadapt_Metrics_Total_Reads]]/Table13[[#This Row],[Reads count]])*100</f>
        <v>1.1787819253438114</v>
      </c>
      <c r="U77" t="s">
        <v>467</v>
      </c>
      <c r="V77" t="str">
        <f>Table13[[#This Row],[Amplicon_consensus]] &amp; "_Run" &amp; A77 &amp; "_Barcode" &amp; C77 &amp; "_" &amp; Table13[[#This Row],[Host]] &amp; "_" &amp; Table13[[#This Row],[Primers]]</f>
        <v>&gt;consensus_cl_id_11_total_supporting_reads_1_Run1_Barcode7_Gryllus sigillatus_GregRC / iLSUr</v>
      </c>
      <c r="W77">
        <v>1</v>
      </c>
      <c r="X77" s="17">
        <f>(Table13[[#This Row],[Supported_by_x_reads]]/Table13[[#This Row],[Cutadapt_Metrics_Total_Reads]])*100</f>
        <v>8.3333333333333321</v>
      </c>
      <c r="Y77" t="s">
        <v>468</v>
      </c>
      <c r="Z77">
        <f>LEN(Table13[[#This Row],[Sequence]])</f>
        <v>3076</v>
      </c>
      <c r="AA77" t="s">
        <v>474</v>
      </c>
      <c r="AB77" t="s">
        <v>475</v>
      </c>
      <c r="AC77">
        <v>68</v>
      </c>
      <c r="AD77">
        <v>81.3</v>
      </c>
      <c r="AE77" t="s">
        <v>47</v>
      </c>
      <c r="AF77" t="s">
        <v>54</v>
      </c>
      <c r="AG77" t="s">
        <v>54</v>
      </c>
      <c r="AH77" t="s">
        <v>31</v>
      </c>
    </row>
    <row r="78" spans="1:36" ht="14.5" x14ac:dyDescent="0.35">
      <c r="A78" s="22">
        <v>1</v>
      </c>
      <c r="B78" s="15">
        <v>44686</v>
      </c>
      <c r="C78">
        <v>7</v>
      </c>
      <c r="D78" t="str">
        <f>Table13[[#This Row],[Nanopore_Run]] &amp; "_" &amp; Table13[[#This Row],[Barcode_ID]]</f>
        <v>1_7</v>
      </c>
      <c r="E78">
        <v>1018</v>
      </c>
      <c r="F78">
        <f>IF(COUNTIF($D$8:D78, D78)=1, Table13[[#This Row],[Reads count]], 0)</f>
        <v>0</v>
      </c>
      <c r="G78" s="16">
        <v>87.565725049115628</v>
      </c>
      <c r="H78" t="s">
        <v>121</v>
      </c>
      <c r="I78" s="1" t="s">
        <v>122</v>
      </c>
      <c r="J78" t="s">
        <v>25</v>
      </c>
      <c r="K78" t="str">
        <f t="shared" si="3"/>
        <v>1_7_GregRC / iLSUr</v>
      </c>
      <c r="L78">
        <v>5</v>
      </c>
      <c r="M78" t="s">
        <v>26</v>
      </c>
      <c r="N78" t="s">
        <v>27</v>
      </c>
      <c r="O78" t="s">
        <v>28</v>
      </c>
      <c r="P78" s="14">
        <v>3350</v>
      </c>
      <c r="Q78" s="1" t="s">
        <v>47</v>
      </c>
      <c r="R78">
        <v>12</v>
      </c>
      <c r="S78">
        <f>IF(COUNTIF($K$8:K78, K78)=1, Table13[[#This Row],[Cutadapt_Metrics_Total_Reads]], 0)</f>
        <v>0</v>
      </c>
      <c r="T78" s="2">
        <f>(Table13[[#This Row],[Cutadapt_Metrics_Total_Reads]]/Table13[[#This Row],[Reads count]])*100</f>
        <v>1.1787819253438114</v>
      </c>
      <c r="U78" t="s">
        <v>196</v>
      </c>
      <c r="V78" t="str">
        <f>Table13[[#This Row],[Amplicon_consensus]] &amp; "_Run" &amp; A78 &amp; "_Barcode" &amp; C78 &amp; "_" &amp; Table13[[#This Row],[Host]] &amp; "_" &amp; Table13[[#This Row],[Primers]]</f>
        <v>&gt;consensus_cl_id_4_total_supporting_reads_1_Run1_Barcode7_Gryllus sigillatus_GregRC / iLSUr</v>
      </c>
      <c r="W78">
        <v>1</v>
      </c>
      <c r="X78" s="17">
        <f>(Table13[[#This Row],[Supported_by_x_reads]]/Table13[[#This Row],[Cutadapt_Metrics_Total_Reads]])*100</f>
        <v>8.3333333333333321</v>
      </c>
      <c r="Y78" t="s">
        <v>469</v>
      </c>
      <c r="Z78">
        <f>LEN(Table13[[#This Row],[Sequence]])</f>
        <v>3279</v>
      </c>
      <c r="AA78" t="s">
        <v>66</v>
      </c>
      <c r="AB78" t="s">
        <v>476</v>
      </c>
      <c r="AC78">
        <v>54</v>
      </c>
      <c r="AD78">
        <v>97</v>
      </c>
      <c r="AE78" t="s">
        <v>67</v>
      </c>
      <c r="AG78" t="s">
        <v>32</v>
      </c>
      <c r="AH78" t="str" cm="1">
        <f t="array" ref="AH78">ReverseComplement(Table13[[#This Row],[Sequence]])</f>
        <v>ATGCTTGTTTCAAAGATTAAGCCATGCATGTCTAAGTATAAGCAATTTATACAGTGAAACTGCGAATGGCTCATTAAATCAGTTATCGTTTATTTGATAGTACCTTTACTACTTGGATAACCGTGGTAATTCTAGAGCTAATACATGCTAAAAATCCCGACTGTTTGGAAGGGATGTATTTATTAGATAAAAAATCAATGCTTTTCGGAGCTCTTTGATGATTCATAATAACTTTTCGAATCGCATGGCCTTGTGCTGGCGATGGTTCATTCAAATTTCTGCCCTATCAACTTTCAAGGTGGTGGATAGTGGCCTACCATGGTTTCAACGGGTAACGGGGAATAAGGGTTCGATTCCGAGAGGGAGCCTGAGAAACGGCTACCACATCCAAGGAAGGCAGCAGGCGCGCAAATTACCCAATCCCGACACGGGGAGGTAGTGACAATAAATAACGATACAGGCCCTTTCGGGTCTTGTAATTGGAATGAGTACAATGTAAATACCTTAACGAGGAACAATTGAGGGCAAGTCTGGTGCCAGCAGCCGCGGTAATTCCAGCTCCAATAGCGTATATTAAAGTTGTTGCAGTTAAAAAGCTCGTAGTTGAACCTTGGGCTTGTTGGCCGGTCCGCCTTTTTTGGCGAGTATCAATCTAACCGAGCCTTTCCTTCTGGCTAACCTTTCGCCCTTGTGGTGTTTGGCGAACCAGGACTTTTTACTTTGAAAAAATTAGAGTGTTCAAAGCGTGCCTTTGCTCGAATATATTAGCATGGAAGAATAGAATAGGACGTTATGGTTCTATCGTTGGTTTCTAGGACCATCGTAATGATTAATAGGGACGGTCGGGGGCATCAGTATTCAGTTGTCAGAGGTGAAATTCTTGGATTACCTGAAGACTAACTACTGCGAAAGCATTTGCCAAGGACGTTTTCATTAATCAAGAACGAAAGTTAGGGGATCGAAGATGATCAGATACCGCCGTAGTCTTAACCATAAACTATGCCGACTAGGATCGGGTGCTGTCTTCTTTGACGCACTCGGCACCTTACGAGAAATCAAAAGTCTTTGGGTTCTGGGGGGAGTATGGTCGCAAGGCTGAAACTTAAAGGAATTGACGGAAGGGCACCACCAGGAGTGGAGCCTGCGGTTTAATTTGACTTAACACGGGGAAACTCACCAGGTCCAGACACAATAAGGATTGACAGATTGAGAGCTCTTTCTTGATTTTGTGGGTGGTGGTGCATGGCCGTTCTTAGTTGGTGGAGTGATTTGTCTGCTTAATTGCGATAACGAACGAGACCTTTAAATCTACTAAATAGCGCTGCTAGCTTTTGCTGGTATAGTCACTTCTTAGAGGGGACTATCGATTTCAAGTCGATGGAAGTTTGAGGCAACAACAGGTCTGTGATGCCCTTAGACGTTCTGGGCCGTGCACGCGCGCTACACTGACGGAGCCAACGAGTATTAACCTTACCGAGAGGTCTGGGAAATCTTGTGAAACTCCGTCGTGCTGGGGATAGAGCATTGTAATTATTGCTCTTCAACGAGGAATTCCTAGTAAGCGCAAGTCATCAGCTTGCGTTGATTACGTCCTCGCTTTTTCCTTGTACACACCGCCCGTCGCTACTACCGATTGAATGGCTTAGTGAGGCCTCCGGATTGGTTTAAAGAAGGGGGCAACTCCATCTTGGAACCGAAAAGCTGGTCAAACTTGGTCATTTAGAGGAAGTAAAAGCCGTAACAAGGTTTCCGTAGGTGAACCCGCAGAAGGGATCACCTGTCTCACGACGGTCTGACATTTATGTCCGGGCCTTCGCAAATCGGCCCGGCATTGACTCAGGATATTGCGCAGCGTCCCGGCCCTCACTAGTCTGCAGGCTCAGCCCGATCAGAGGAATGCCCATGTCTTGCGCCCAGCATGACGCTGTATTACAACGCCGCTTCGCCATTCGCGCGCAAAGTGCTGATCTTGTCATGAAACCGGACAGGCAGCCGGGTGAGTCTCAAGGCGGTTGCGCTCACCCCCGTCAGCCCCGACGCTGAAGTCTGTCGCGACAATCCGTGCGGGAAAATCGCGCTGTGCCTGGCCGACGGTAACGTGATCCATGACAGCCGGGTGATTCCCGGATCATCCGGACCAACAACATGTCGGCAACCCCCTCATCCCCAAGGAAGGCTCGGCGCGCTGGCGGCGATTGACGTCATGTCGCTGGCCGATGCCCTCATGGACGCTGCGCTGCTCATTCGGTACGAGACCTTCCTGCGGCCAGAGGAGAAGCATTGGTCGGAATGGCTCGACGCCCAACAAGAAAAGATCGCACGCACCCTGGCCTATTTCGAGGCCGAAGATCACTGAATTGAGTACGCATTTCGACGTCGCATCGATCAGCGCGGCCTGTGCGGTGGGCTATCTGGATTTCCGTCAGCCGAATCTGGCTGGCGCAGCAGTTACCCGAGATTGGCAACCGGTATGGCGAAGTCAGTCAGCGGCCATCGATGCTGAAGACTCAGCCGCCTGCGTGAGCCATGTGGCGCGCCACCCCGGTCACGTGCATAAGCCCAGCCGCGTGGCCGAAACTCGAGTCCGCCCGATCCTGTGGGGGCGACCTCGCTCGCGAAGGGCCGAGACAGCTGCTGCATTCCTGGCGCCTTAATCGCCAATCTCGTGAGCGTGGGCAAACCCACTCCCACAGGGAGTGTGTTTGCTGCAAGACAGCGCTTCGCCTGGACGATGGGAGATCTCCCATCAGCACTCAGGCTTGTCCGCCGTATAACGACGCCGGGTTAACCGCCGCGCCGAATTCACGCAGGGCCTTGGCGCCGATTAGCAACGGGTAGTTGAAGTGGCTGCGGTCGACGAGGTTGACCTTCACGGTGCGTTTCACGCCGCTCCAGCACAGCTCAAGGTCAACAACCGGGCGCTTGGTGGGATCGGCCGGCTCTTCGTCATCGTCGCCCTGGGAACGTCTTTGATCAGCTGACGGAAACCTTGTGCTCATACACTTTGCTGTCGGCATCTTTGGTCGCCAGACGGAAACGCACCCAGTCATCGCCATCGCGCTTGAACAGTTCGATGTCCTTGGCCGACAGCGATGCGGTCAACGCGCCGGCGTCCATCTTGGCTTTGAACGTCTCGCCGATCTCCGAGACCTGGATGTATTCGTAACGGCCGTACAACGTCGGCTCGGCAGCCATGACAGGCAACGCCAGCAAAGACAGAAGCGCCAGAAGGATTTCCACGGATTTGATTCCTCAGATGAATGGGCGAGCGTGTGCCCG</v>
      </c>
      <c r="AI78">
        <f>LEN(Table13[[#This Row],[Correct_seq_if_RC]])</f>
        <v>3279</v>
      </c>
      <c r="AJ78" t="str">
        <f>IF(Table13[[#This Row],[Column1]]=Table13[[#This Row],[Sequence_length]],"yes","no")</f>
        <v>yes</v>
      </c>
    </row>
    <row r="79" spans="1:36" ht="14.5" x14ac:dyDescent="0.35">
      <c r="A79" s="22">
        <v>1</v>
      </c>
      <c r="B79" s="15">
        <v>44686</v>
      </c>
      <c r="C79">
        <v>7</v>
      </c>
      <c r="D79" t="str">
        <f>Table13[[#This Row],[Nanopore_Run]] &amp; "_" &amp; Table13[[#This Row],[Barcode_ID]]</f>
        <v>1_7</v>
      </c>
      <c r="E79">
        <v>1018</v>
      </c>
      <c r="F79">
        <f>IF(COUNTIF($D$8:D79, D79)=1, Table13[[#This Row],[Reads count]], 0)</f>
        <v>0</v>
      </c>
      <c r="G79" s="16">
        <v>87.565725049115628</v>
      </c>
      <c r="H79" t="s">
        <v>121</v>
      </c>
      <c r="I79" s="1" t="s">
        <v>122</v>
      </c>
      <c r="J79" t="s">
        <v>25</v>
      </c>
      <c r="K79" t="str">
        <f t="shared" si="3"/>
        <v>1_7_GregRC / iLSUr</v>
      </c>
      <c r="L79">
        <v>5</v>
      </c>
      <c r="M79" t="s">
        <v>26</v>
      </c>
      <c r="N79" t="s">
        <v>27</v>
      </c>
      <c r="O79" t="s">
        <v>28</v>
      </c>
      <c r="P79" s="14">
        <v>3350</v>
      </c>
      <c r="Q79" s="1" t="s">
        <v>47</v>
      </c>
      <c r="R79">
        <v>12</v>
      </c>
      <c r="S79">
        <f>IF(COUNTIF($K$8:K79, K79)=1, Table13[[#This Row],[Cutadapt_Metrics_Total_Reads]], 0)</f>
        <v>0</v>
      </c>
      <c r="T79" s="2">
        <f>(Table13[[#This Row],[Cutadapt_Metrics_Total_Reads]]/Table13[[#This Row],[Reads count]])*100</f>
        <v>1.1787819253438114</v>
      </c>
      <c r="U79" t="s">
        <v>379</v>
      </c>
      <c r="V79" t="str">
        <f>Table13[[#This Row],[Amplicon_consensus]] &amp; "_Run" &amp; A79 &amp; "_Barcode" &amp; C79 &amp; "_" &amp; Table13[[#This Row],[Host]] &amp; "_" &amp; Table13[[#This Row],[Primers]]</f>
        <v>&gt;consensus_cl_id_5_total_supporting_reads_2_Run1_Barcode7_Gryllus sigillatus_GregRC / iLSUr</v>
      </c>
      <c r="W79">
        <v>2</v>
      </c>
      <c r="X79" s="17">
        <f>(Table13[[#This Row],[Supported_by_x_reads]]/Table13[[#This Row],[Cutadapt_Metrics_Total_Reads]])*100</f>
        <v>16.666666666666664</v>
      </c>
      <c r="Y79" t="s">
        <v>470</v>
      </c>
      <c r="Z79">
        <f>LEN(Table13[[#This Row],[Sequence]])</f>
        <v>3275</v>
      </c>
      <c r="AA79" t="s">
        <v>366</v>
      </c>
      <c r="AB79" t="s">
        <v>365</v>
      </c>
      <c r="AC79">
        <v>69</v>
      </c>
      <c r="AD79">
        <v>94.9</v>
      </c>
      <c r="AE79" t="s">
        <v>47</v>
      </c>
      <c r="AF79" t="s">
        <v>32</v>
      </c>
      <c r="AG79" t="s">
        <v>54</v>
      </c>
      <c r="AH79" t="s">
        <v>31</v>
      </c>
    </row>
    <row r="80" spans="1:36" ht="14.5" x14ac:dyDescent="0.35">
      <c r="A80" s="22">
        <v>1</v>
      </c>
      <c r="B80" s="15">
        <v>44686</v>
      </c>
      <c r="C80">
        <v>7</v>
      </c>
      <c r="D80" t="str">
        <f>Table13[[#This Row],[Nanopore_Run]] &amp; "_" &amp; Table13[[#This Row],[Barcode_ID]]</f>
        <v>1_7</v>
      </c>
      <c r="E80">
        <v>1018</v>
      </c>
      <c r="F80">
        <f>IF(COUNTIF($D$8:D80, D80)=1, Table13[[#This Row],[Reads count]], 0)</f>
        <v>0</v>
      </c>
      <c r="G80" s="16">
        <v>87.565725049115628</v>
      </c>
      <c r="H80" t="s">
        <v>121</v>
      </c>
      <c r="I80" s="1" t="s">
        <v>122</v>
      </c>
      <c r="J80" t="s">
        <v>25</v>
      </c>
      <c r="K80" t="str">
        <f t="shared" si="3"/>
        <v>1_7_GregRC / iLSUr</v>
      </c>
      <c r="L80">
        <v>5</v>
      </c>
      <c r="M80" t="s">
        <v>26</v>
      </c>
      <c r="N80" t="s">
        <v>27</v>
      </c>
      <c r="O80" t="s">
        <v>28</v>
      </c>
      <c r="P80" s="14">
        <v>3350</v>
      </c>
      <c r="Q80" s="1" t="s">
        <v>47</v>
      </c>
      <c r="R80">
        <v>12</v>
      </c>
      <c r="S80">
        <f>IF(COUNTIF($K$8:K80, K80)=1, Table13[[#This Row],[Cutadapt_Metrics_Total_Reads]], 0)</f>
        <v>0</v>
      </c>
      <c r="T80" s="2">
        <f>(Table13[[#This Row],[Cutadapt_Metrics_Total_Reads]]/Table13[[#This Row],[Reads count]])*100</f>
        <v>1.1787819253438114</v>
      </c>
      <c r="U80" t="s">
        <v>471</v>
      </c>
      <c r="V80" t="str">
        <f>Table13[[#This Row],[Amplicon_consensus]] &amp; "_Run" &amp; A80 &amp; "_Barcode" &amp; C80 &amp; "_" &amp; Table13[[#This Row],[Host]] &amp; "_" &amp; Table13[[#This Row],[Primers]]</f>
        <v>&gt;consensus_cl_id_6_total_supporting_reads_1_Run1_Barcode7_Gryllus sigillatus_GregRC / iLSUr</v>
      </c>
      <c r="W80">
        <v>1</v>
      </c>
      <c r="X80" s="17">
        <f>(Table13[[#This Row],[Supported_by_x_reads]]/Table13[[#This Row],[Cutadapt_Metrics_Total_Reads]])*100</f>
        <v>8.3333333333333321</v>
      </c>
      <c r="Y80" t="s">
        <v>472</v>
      </c>
      <c r="Z80">
        <f>LEN(Table13[[#This Row],[Sequence]])</f>
        <v>3492</v>
      </c>
      <c r="AA80" t="s">
        <v>366</v>
      </c>
      <c r="AB80" t="s">
        <v>365</v>
      </c>
      <c r="AC80">
        <v>63</v>
      </c>
      <c r="AD80">
        <v>93.7</v>
      </c>
      <c r="AE80" t="s">
        <v>47</v>
      </c>
      <c r="AF80" t="s">
        <v>54</v>
      </c>
      <c r="AG80" t="s">
        <v>31</v>
      </c>
      <c r="AH80" t="s">
        <v>31</v>
      </c>
    </row>
    <row r="81" spans="1:36" ht="14.5" x14ac:dyDescent="0.35">
      <c r="A81" s="22">
        <v>1</v>
      </c>
      <c r="B81" s="15">
        <v>44686</v>
      </c>
      <c r="C81">
        <v>7</v>
      </c>
      <c r="D81" t="str">
        <f>Table13[[#This Row],[Nanopore_Run]] &amp; "_" &amp; Table13[[#This Row],[Barcode_ID]]</f>
        <v>1_7</v>
      </c>
      <c r="E81">
        <v>1018</v>
      </c>
      <c r="F81">
        <f>IF(COUNTIF($D$8:D81, D81)=1, Table13[[#This Row],[Reads count]], 0)</f>
        <v>0</v>
      </c>
      <c r="G81" s="16">
        <v>87.565725049115628</v>
      </c>
      <c r="H81" t="s">
        <v>121</v>
      </c>
      <c r="I81" s="1" t="s">
        <v>122</v>
      </c>
      <c r="J81" t="s">
        <v>440</v>
      </c>
      <c r="K81" t="str">
        <f t="shared" si="3"/>
        <v>1_7_KinetF / KinetR</v>
      </c>
      <c r="L81">
        <v>3</v>
      </c>
      <c r="M81" t="s">
        <v>259</v>
      </c>
      <c r="N81" t="s">
        <v>71</v>
      </c>
      <c r="O81" t="s">
        <v>72</v>
      </c>
      <c r="P81" s="14">
        <v>5000</v>
      </c>
      <c r="Q81" s="1" t="s">
        <v>257</v>
      </c>
      <c r="R81">
        <v>14</v>
      </c>
      <c r="S81">
        <f>IF(COUNTIF($K$8:K81, K81)=1, Table13[[#This Row],[Cutadapt_Metrics_Total_Reads]], 0)</f>
        <v>14</v>
      </c>
      <c r="T81" s="2">
        <f>(Table13[[#This Row],[Cutadapt_Metrics_Total_Reads]]/Table13[[#This Row],[Reads count]])*100</f>
        <v>1.37524557956778</v>
      </c>
      <c r="U81" t="s">
        <v>73</v>
      </c>
      <c r="V81" t="str">
        <f>Table13[[#This Row],[Amplicon_consensus]] &amp; "_Run" &amp; A81 &amp; "_Barcode" &amp; C81 &amp; "_" &amp; Table13[[#This Row],[Host]] &amp; "_" &amp; Table13[[#This Row],[Primers]]</f>
        <v>&gt;consensus_cl_id_0_total_supporting_reads_5_Run1_Barcode7_Gryllus sigillatus_KinetF / KinetR</v>
      </c>
      <c r="W81">
        <v>5</v>
      </c>
      <c r="X81" s="17">
        <f>(Table13[[#This Row],[Supported_by_x_reads]]/Table13[[#This Row],[Cutadapt_Metrics_Total_Reads]])*100</f>
        <v>35.714285714285715</v>
      </c>
      <c r="Y81" t="s">
        <v>465</v>
      </c>
      <c r="Z81">
        <f>LEN(Table13[[#This Row],[Sequence]])</f>
        <v>2168</v>
      </c>
      <c r="AA81" t="s">
        <v>260</v>
      </c>
      <c r="AB81" t="s">
        <v>392</v>
      </c>
      <c r="AC81">
        <v>81</v>
      </c>
      <c r="AD81">
        <v>99.3</v>
      </c>
      <c r="AE81" t="s">
        <v>67</v>
      </c>
      <c r="AG81" t="s">
        <v>54</v>
      </c>
      <c r="AH81" t="s">
        <v>31</v>
      </c>
    </row>
    <row r="82" spans="1:36" ht="14.5" x14ac:dyDescent="0.35">
      <c r="A82" s="22">
        <v>1</v>
      </c>
      <c r="B82" s="15">
        <v>44686</v>
      </c>
      <c r="C82">
        <v>7</v>
      </c>
      <c r="D82" t="str">
        <f>Table13[[#This Row],[Nanopore_Run]] &amp; "_" &amp; Table13[[#This Row],[Barcode_ID]]</f>
        <v>1_7</v>
      </c>
      <c r="E82">
        <v>1018</v>
      </c>
      <c r="F82">
        <f>IF(COUNTIF($D$8:D82, D82)=1, Table13[[#This Row],[Reads count]], 0)</f>
        <v>0</v>
      </c>
      <c r="G82" s="16">
        <v>87.565725049115628</v>
      </c>
      <c r="H82" t="s">
        <v>121</v>
      </c>
      <c r="I82" s="1" t="s">
        <v>122</v>
      </c>
      <c r="J82" t="s">
        <v>440</v>
      </c>
      <c r="K82" t="str">
        <f t="shared" si="3"/>
        <v>1_7_KinetF / KinetR</v>
      </c>
      <c r="L82">
        <v>3</v>
      </c>
      <c r="M82" t="s">
        <v>259</v>
      </c>
      <c r="N82" t="s">
        <v>71</v>
      </c>
      <c r="O82" t="s">
        <v>72</v>
      </c>
      <c r="P82" s="14">
        <v>5000</v>
      </c>
      <c r="Q82" s="1" t="s">
        <v>257</v>
      </c>
      <c r="R82">
        <v>14</v>
      </c>
      <c r="S82">
        <f>IF(COUNTIF($K$8:K82, K82)=1, Table13[[#This Row],[Cutadapt_Metrics_Total_Reads]], 0)</f>
        <v>0</v>
      </c>
      <c r="T82" s="2">
        <f>(Table13[[#This Row],[Cutadapt_Metrics_Total_Reads]]/Table13[[#This Row],[Reads count]])*100</f>
        <v>1.37524557956778</v>
      </c>
      <c r="U82" t="s">
        <v>320</v>
      </c>
      <c r="V82" t="str">
        <f>Table13[[#This Row],[Amplicon_consensus]] &amp; "_Run" &amp; A82 &amp; "_Barcode" &amp; C82 &amp; "_" &amp; Table13[[#This Row],[Host]] &amp; "_" &amp; Table13[[#This Row],[Primers]]</f>
        <v>&gt;consensus_cl_id_2_total_supporting_reads_2_Run1_Barcode7_Gryllus sigillatus_KinetF / KinetR</v>
      </c>
      <c r="W82">
        <v>2</v>
      </c>
      <c r="X82" s="17">
        <f>(Table13[[#This Row],[Supported_by_x_reads]]/Table13[[#This Row],[Cutadapt_Metrics_Total_Reads]])*100</f>
        <v>14.285714285714285</v>
      </c>
      <c r="Y82" t="s">
        <v>466</v>
      </c>
      <c r="Z82">
        <f>LEN(Table13[[#This Row],[Sequence]])</f>
        <v>1841</v>
      </c>
      <c r="AA82" t="s">
        <v>266</v>
      </c>
      <c r="AB82" t="s">
        <v>290</v>
      </c>
      <c r="AC82">
        <v>96</v>
      </c>
      <c r="AD82">
        <v>95.5</v>
      </c>
      <c r="AE82" t="s">
        <v>47</v>
      </c>
      <c r="AF82" t="s">
        <v>32</v>
      </c>
      <c r="AG82" t="s">
        <v>32</v>
      </c>
      <c r="AH82" t="str" cm="1">
        <f t="array" ref="AH82">ReverseComplement(Table13[[#This Row],[Sequence]])</f>
        <v>CTGCCAGTAGTCATATGCTTGTTTCAAAGATTATTTCATGCAAGTCTAAGCATAAGCTTTTATACGGCAAAAACTGCGAATAGCTCATTACAACAGTTATAATCTACACGAAGATCATTACCAAATGGATATCCATGTATTCTGGAGCTAATACATGCAAAAACACCCGACTTCGTAGAAGGGTGGCATTCATTAGCATTGGAACCATCCAGGTTTTCGGGACCTGTTCTTGGTGATCATAATGACCGAGCGGATCGCATCTTGCGACAGTTCGTTCGAGTTTCTGACCCATCAGCTCCCGGGGTCGGTAGGGTATTGGCCTACCGGAGGCGCTGTGACGGGTAACGGGGAATTAGGGTTCGATTCCGGAGAGGGAGCCTGAGAGACGGCTACCACATCTAAGGATGGCAGCAGGCGCGCAAATTACCCAATCCCGATACGGGGAGGTAGTGACTAGAAATAGCAACTCAGGACCTTCGGTTCTGTGATTGCAATGAGCGGAAAAGCAAAACTATTTGCGAGTACCTATTGGAGGGCAAGTCTGGTGCCAGCAGCCGCGGTAATTCCAGCTCCAATAGCGTATTAAAATTGCTGCAGTTAAAGGGGTCTCAGAAGTTGGATTTCGTCCAAATCGGAGAGACGCCTGTCTGACTTCGTGTTAGTCAGTGCACTTTCTGTTTCGGACTCGGGTGGGATAGCTTCGGCTGTACCGCTCTGTTACTTTGAGCAAATTGAGTGCTCCAACCAGGCTATAGCTTAAACAGCTCAGCAGCGGAATAACAATATAGGATCAGATCCTCCTTGTTGGTGACGTGGAACACAAGTAATGGTTGATAAGGACATACGGGGGCATCTGTACTTGCTGGAGAGAGGTGAAATTCTAAGACCCAGCAAAGACAAACAAGTGCGAAAGCATTTGCCCAGTGTGTGCCTGTTAATCAAGGACGAAAGTTGGGGGATCGAAGACGCTTTAGATACCGTCGTAGTCCCAACTATAAACTATGCCGGGACTGAGGATCGGAGGCTGTACAAATACGACTCCTTCGGCACTCCAAGAGAAATCTAAGCCCTGGGCCCTGGGGAGTATGGTCGCAAGGCTGAAACTTAAAGGAATTGACGGAAGGGCACCACCAGGAGTGGAGCCTGCGGCTTAATTTGACTCAACGCGGGGAACCTCACCAGGCTCCGACATAGTCAAGATTGACAGATTGAGAGTTCTTTCTCGATTCTATGGGTGGTGGTGCATGGCCGTTCTTAGTCGGTGAGGTGACTTGTCTGGTTAATTCCGATAACGGACGAGACCTCGATCACTAACTAGCCTTCGTTTACTTCTGTAAGCGATTGGCTTCTTAGGAGGGACTTTGTGAGACTATCACAAGGAAGTTCGAGCCTATAACAGGTCTGTGATGCCCTTAGATGGCCTGGGCTGCACGTGCGCTACAATGACGGAGCCTGTGAGTTTCTGCACTCCTACTCCGTACGGAGCGGGAAAATTGTGAAACTCCGTCGTGATAGGGATTGACCTTTGCAATTATGGGTCATGAACGAGGAATTCCCAAGTAAGGACAAGTCATCACCAGGTGCTGATTACGTCCCTGCCCTTGTACACACCGCCCGTCGCTTCAACCGATTGGATGATCCGGCAAATTACATGGACTTTTACGGAAGCCGCTTTGTTCTACATCGCTCTTCGTGAGGAAATGTTGTGAGCCTTATCATCTAGAGGATGAAGAAGTCGTAACACGGTATCCGTAGGTGAACCTGCAGAAGGATCAGGTGCTGGTGTTACCGTGGGAATGAATCCTTTAACCTTAGCAATACGTAACTGAACGAAGTACAAT</v>
      </c>
    </row>
    <row r="83" spans="1:36" ht="14.5" x14ac:dyDescent="0.35">
      <c r="A83" s="22">
        <v>1</v>
      </c>
      <c r="B83" s="15">
        <v>44686</v>
      </c>
      <c r="C83">
        <v>7</v>
      </c>
      <c r="D83" t="str">
        <f>Table13[[#This Row],[Nanopore_Run]] &amp; "_" &amp; Table13[[#This Row],[Barcode_ID]]</f>
        <v>1_7</v>
      </c>
      <c r="E83">
        <v>1018</v>
      </c>
      <c r="F83">
        <f>IF(COUNTIF($D$8:D83, D83)=1, Table13[[#This Row],[Reads count]], 0)</f>
        <v>0</v>
      </c>
      <c r="G83" s="16">
        <v>87.565725049115628</v>
      </c>
      <c r="H83" t="s">
        <v>121</v>
      </c>
      <c r="I83" s="1" t="s">
        <v>122</v>
      </c>
      <c r="J83" t="s">
        <v>440</v>
      </c>
      <c r="K83" t="str">
        <f t="shared" si="3"/>
        <v>1_7_KinetF / KinetR</v>
      </c>
      <c r="L83">
        <v>3</v>
      </c>
      <c r="M83" t="s">
        <v>259</v>
      </c>
      <c r="N83" t="s">
        <v>71</v>
      </c>
      <c r="O83" t="s">
        <v>72</v>
      </c>
      <c r="P83" s="14">
        <v>5000</v>
      </c>
      <c r="Q83" s="1" t="s">
        <v>257</v>
      </c>
      <c r="R83">
        <v>14</v>
      </c>
      <c r="S83">
        <f>IF(COUNTIF($K$8:K83, K83)=1, Table13[[#This Row],[Cutadapt_Metrics_Total_Reads]], 0)</f>
        <v>0</v>
      </c>
      <c r="T83" s="2">
        <f>(Table13[[#This Row],[Cutadapt_Metrics_Total_Reads]]/Table13[[#This Row],[Reads count]])*100</f>
        <v>1.37524557956778</v>
      </c>
      <c r="U83" t="s">
        <v>126</v>
      </c>
      <c r="V83" t="str">
        <f>Table13[[#This Row],[Amplicon_consensus]] &amp; "_Run" &amp; A83 &amp; "_Barcode" &amp; C83 &amp; "_" &amp; Table13[[#This Row],[Host]] &amp; "_" &amp; Table13[[#This Row],[Primers]]</f>
        <v>&gt;consensus_cl_id_7_total_supporting_reads_7_Run1_Barcode7_Gryllus sigillatus_KinetF / KinetR</v>
      </c>
      <c r="W83">
        <v>7</v>
      </c>
      <c r="X83" s="17">
        <f>(Table13[[#This Row],[Supported_by_x_reads]]/Table13[[#This Row],[Cutadapt_Metrics_Total_Reads]])*100</f>
        <v>50</v>
      </c>
      <c r="Y83" t="s">
        <v>127</v>
      </c>
      <c r="Z83">
        <f>LEN(Table13[[#This Row],[Sequence]])</f>
        <v>2038</v>
      </c>
      <c r="AA83" t="s">
        <v>66</v>
      </c>
      <c r="AB83" t="s">
        <v>392</v>
      </c>
      <c r="AC83">
        <v>90</v>
      </c>
      <c r="AD83">
        <v>96</v>
      </c>
      <c r="AE83" t="s">
        <v>67</v>
      </c>
      <c r="AG83" t="s">
        <v>54</v>
      </c>
      <c r="AH83" t="s">
        <v>31</v>
      </c>
    </row>
    <row r="84" spans="1:36" ht="14.5" x14ac:dyDescent="0.35">
      <c r="A84" s="22">
        <v>1</v>
      </c>
      <c r="B84" s="15">
        <v>44686</v>
      </c>
      <c r="C84">
        <v>7</v>
      </c>
      <c r="D84" t="str">
        <f>Table13[[#This Row],[Nanopore_Run]] &amp; "_" &amp; Table13[[#This Row],[Barcode_ID]]</f>
        <v>1_7</v>
      </c>
      <c r="E84">
        <v>1018</v>
      </c>
      <c r="F84">
        <f>IF(COUNTIF($D$8:D84, D84)=1, Table13[[#This Row],[Reads count]], 0)</f>
        <v>0</v>
      </c>
      <c r="G84" s="16">
        <v>87.565725049115628</v>
      </c>
      <c r="H84" t="s">
        <v>121</v>
      </c>
      <c r="I84" s="1" t="s">
        <v>122</v>
      </c>
      <c r="J84" t="s">
        <v>93</v>
      </c>
      <c r="K84" t="str">
        <f t="shared" si="3"/>
        <v>1_7_GregF / GregR</v>
      </c>
      <c r="L84">
        <v>1</v>
      </c>
      <c r="M84" t="s">
        <v>259</v>
      </c>
      <c r="N84" s="19" t="s">
        <v>94</v>
      </c>
      <c r="O84" t="s">
        <v>95</v>
      </c>
      <c r="P84" s="14">
        <v>300</v>
      </c>
      <c r="Q84" s="1" t="s">
        <v>47</v>
      </c>
      <c r="R84">
        <v>46</v>
      </c>
      <c r="S84">
        <f>IF(COUNTIF($K$8:K84, K84)=1, Table13[[#This Row],[Cutadapt_Metrics_Total_Reads]], 0)</f>
        <v>46</v>
      </c>
      <c r="T84" s="2">
        <f>(Table13[[#This Row],[Cutadapt_Metrics_Total_Reads]]/Table13[[#This Row],[Reads count]])*100</f>
        <v>4.5186640471512778</v>
      </c>
      <c r="U84" t="s">
        <v>129</v>
      </c>
      <c r="V84" t="str">
        <f>Table13[[#This Row],[Amplicon_consensus]] &amp; "_Run" &amp; A84 &amp; "_Barcode" &amp; C84 &amp; "_" &amp; Table13[[#This Row],[Host]] &amp; "_" &amp; Table13[[#This Row],[Primers]]</f>
        <v xml:space="preserve">&gt;consensus_cl_id_2_total_supporting_reads_29_Run1_Barcode7_Gryllus sigillatus_GregF / GregR </v>
      </c>
      <c r="W84">
        <v>29</v>
      </c>
      <c r="X84" s="17">
        <f>(Table13[[#This Row],[Supported_by_x_reads]]/Table13[[#This Row],[Cutadapt_Metrics_Total_Reads]])*100</f>
        <v>63.04347826086957</v>
      </c>
      <c r="Y84" t="s">
        <v>130</v>
      </c>
      <c r="Z84">
        <f>LEN(Table13[[#This Row],[Sequence]])</f>
        <v>324</v>
      </c>
      <c r="AA84" t="s">
        <v>266</v>
      </c>
      <c r="AB84" t="s">
        <v>290</v>
      </c>
      <c r="AC84">
        <v>97</v>
      </c>
      <c r="AD84">
        <v>98.4</v>
      </c>
      <c r="AE84" t="s">
        <v>47</v>
      </c>
      <c r="AF84" t="s">
        <v>32</v>
      </c>
      <c r="AG84" t="s">
        <v>32</v>
      </c>
      <c r="AH84" t="s">
        <v>131</v>
      </c>
      <c r="AI84">
        <f>LEN(Table13[[#This Row],[Correct_seq_if_RC]])</f>
        <v>324</v>
      </c>
      <c r="AJ84" t="str">
        <f>IF(Table13[[#This Row],[Column1]]=Table13[[#This Row],[Sequence_length]],"yes","no")</f>
        <v>yes</v>
      </c>
    </row>
    <row r="85" spans="1:36" ht="14.5" x14ac:dyDescent="0.35">
      <c r="A85" s="22">
        <v>1</v>
      </c>
      <c r="B85" s="15">
        <v>44686</v>
      </c>
      <c r="C85" s="19">
        <v>7</v>
      </c>
      <c r="D85" t="str">
        <f>Table13[[#This Row],[Nanopore_Run]] &amp; "_" &amp; Table13[[#This Row],[Barcode_ID]]</f>
        <v>1_7</v>
      </c>
      <c r="E85" s="19">
        <v>1018</v>
      </c>
      <c r="F85">
        <f>IF(COUNTIF($D$8:D85, D85)=1, Table13[[#This Row],[Reads count]], 0)</f>
        <v>0</v>
      </c>
      <c r="G85" s="23">
        <v>87.565725049115628</v>
      </c>
      <c r="H85" s="19" t="s">
        <v>121</v>
      </c>
      <c r="I85" s="24" t="s">
        <v>122</v>
      </c>
      <c r="J85" s="19" t="s">
        <v>75</v>
      </c>
      <c r="K85" t="str">
        <f t="shared" si="3"/>
        <v>1_7_Am</v>
      </c>
      <c r="L85" s="19">
        <v>2</v>
      </c>
      <c r="M85" s="19" t="s">
        <v>259</v>
      </c>
      <c r="N85" t="s">
        <v>76</v>
      </c>
      <c r="O85" t="s">
        <v>77</v>
      </c>
      <c r="P85" s="14">
        <v>400</v>
      </c>
      <c r="Q85" s="1" t="s">
        <v>37</v>
      </c>
      <c r="R85" s="19">
        <v>292</v>
      </c>
      <c r="S85">
        <f>IF(COUNTIF($K$8:K85, K85)=1, Table13[[#This Row],[Cutadapt_Metrics_Total_Reads]], 0)</f>
        <v>292</v>
      </c>
      <c r="T85" s="25">
        <f>(Table13[[#This Row],[Cutadapt_Metrics_Total_Reads]]/Table13[[#This Row],[Reads count]])*100</f>
        <v>28.68369351669941</v>
      </c>
      <c r="U85" s="19" t="s">
        <v>132</v>
      </c>
      <c r="V85" s="19" t="str">
        <f>Table13[[#This Row],[Amplicon_consensus]] &amp; "_Run" &amp; A85 &amp; "_Barcode" &amp; C85 &amp; "_" &amp; Table13[[#This Row],[Host]] &amp; "_" &amp; Table13[[#This Row],[Primers]]</f>
        <v>&gt;consensus_cl_id_10_total_supporting_reads_62_Run1_Barcode7_Gryllus sigillatus_Am</v>
      </c>
      <c r="W85" s="19">
        <v>62</v>
      </c>
      <c r="X85" s="26">
        <f>(Table13[[#This Row],[Supported_by_x_reads]]/Table13[[#This Row],[Cutadapt_Metrics_Total_Reads]])*100</f>
        <v>21.232876712328768</v>
      </c>
      <c r="Y85" s="19" t="s">
        <v>133</v>
      </c>
      <c r="Z85" s="19">
        <f>LEN(Table13[[#This Row],[Sequence]])</f>
        <v>607</v>
      </c>
      <c r="AA85" s="19" t="s">
        <v>64</v>
      </c>
      <c r="AB85" t="s">
        <v>371</v>
      </c>
      <c r="AC85">
        <v>57</v>
      </c>
      <c r="AD85">
        <v>98.3</v>
      </c>
      <c r="AE85" t="s">
        <v>430</v>
      </c>
      <c r="AF85" t="s">
        <v>54</v>
      </c>
      <c r="AG85" t="s">
        <v>31</v>
      </c>
      <c r="AH85" t="s">
        <v>31</v>
      </c>
    </row>
    <row r="86" spans="1:36" ht="14.5" x14ac:dyDescent="0.35">
      <c r="A86" s="22">
        <v>1</v>
      </c>
      <c r="B86" s="15">
        <v>44686</v>
      </c>
      <c r="C86" s="19">
        <v>7</v>
      </c>
      <c r="D86" t="str">
        <f>Table13[[#This Row],[Nanopore_Run]] &amp; "_" &amp; Table13[[#This Row],[Barcode_ID]]</f>
        <v>1_7</v>
      </c>
      <c r="E86" s="19">
        <v>1018</v>
      </c>
      <c r="F86">
        <f>IF(COUNTIF($D$8:D86, D86)=1, Table13[[#This Row],[Reads count]], 0)</f>
        <v>0</v>
      </c>
      <c r="G86" s="23">
        <v>87.565725049115628</v>
      </c>
      <c r="H86" s="19" t="s">
        <v>121</v>
      </c>
      <c r="I86" s="24" t="s">
        <v>122</v>
      </c>
      <c r="J86" s="19" t="s">
        <v>75</v>
      </c>
      <c r="K86" t="str">
        <f t="shared" si="3"/>
        <v>1_7_Am</v>
      </c>
      <c r="L86" s="19">
        <v>2</v>
      </c>
      <c r="M86" s="19" t="s">
        <v>259</v>
      </c>
      <c r="N86" t="s">
        <v>76</v>
      </c>
      <c r="O86" t="s">
        <v>77</v>
      </c>
      <c r="P86" s="14">
        <v>400</v>
      </c>
      <c r="Q86" s="1" t="s">
        <v>37</v>
      </c>
      <c r="R86" s="19">
        <v>292</v>
      </c>
      <c r="S86">
        <f>IF(COUNTIF($K$8:K86, K86)=1, Table13[[#This Row],[Cutadapt_Metrics_Total_Reads]], 0)</f>
        <v>0</v>
      </c>
      <c r="T86" s="25">
        <f>(Table13[[#This Row],[Cutadapt_Metrics_Total_Reads]]/Table13[[#This Row],[Reads count]])*100</f>
        <v>28.68369351669941</v>
      </c>
      <c r="U86" s="19" t="s">
        <v>463</v>
      </c>
      <c r="V86" s="19" t="str">
        <f>Table13[[#This Row],[Amplicon_consensus]] &amp; "_Run" &amp; A86 &amp; "_Barcode" &amp; C86 &amp; "_" &amp; Table13[[#This Row],[Host]] &amp; "_" &amp; Table13[[#This Row],[Primers]]</f>
        <v>&gt;consensus_cl_id_2_total_supporting_reads_47_Run1_Barcode7_Gryllus sigillatus_Am</v>
      </c>
      <c r="W86" s="19">
        <v>47</v>
      </c>
      <c r="X86" s="26">
        <f>(Table13[[#This Row],[Supported_by_x_reads]]/Table13[[#This Row],[Cutadapt_Metrics_Total_Reads]])*100</f>
        <v>16.095890410958905</v>
      </c>
      <c r="Y86" s="19" t="s">
        <v>464</v>
      </c>
      <c r="Z86" s="19">
        <f>LEN(Table13[[#This Row],[Sequence]])</f>
        <v>581</v>
      </c>
      <c r="AA86" s="19" t="s">
        <v>64</v>
      </c>
      <c r="AB86" t="s">
        <v>371</v>
      </c>
      <c r="AC86" s="19">
        <v>60</v>
      </c>
      <c r="AD86" s="19">
        <v>98.8</v>
      </c>
      <c r="AE86" t="s">
        <v>430</v>
      </c>
      <c r="AF86" t="s">
        <v>54</v>
      </c>
      <c r="AG86" t="s">
        <v>31</v>
      </c>
      <c r="AH86" t="s">
        <v>31</v>
      </c>
      <c r="AI86" s="19"/>
      <c r="AJ86" s="19"/>
    </row>
    <row r="87" spans="1:36" ht="14.5" x14ac:dyDescent="0.35">
      <c r="A87" s="20">
        <v>1</v>
      </c>
      <c r="B87" s="15">
        <v>44686</v>
      </c>
      <c r="C87" s="14">
        <v>8</v>
      </c>
      <c r="D87" t="str">
        <f>Table13[[#This Row],[Nanopore_Run]] &amp; "_" &amp; Table13[[#This Row],[Barcode_ID]]</f>
        <v>1_8</v>
      </c>
      <c r="E87" s="14">
        <v>951</v>
      </c>
      <c r="F87">
        <f>IF(COUNTIF($D$8:D87, D87)=1, Table13[[#This Row],[Reads count]], 0)</f>
        <v>951</v>
      </c>
      <c r="G87" s="27">
        <v>88.156504100946449</v>
      </c>
      <c r="H87" s="1" t="s">
        <v>117</v>
      </c>
      <c r="I87" t="s">
        <v>24</v>
      </c>
      <c r="J87" t="s">
        <v>56</v>
      </c>
      <c r="K87" t="str">
        <f t="shared" si="3"/>
        <v>1_8_UnonMet</v>
      </c>
      <c r="L87">
        <v>3</v>
      </c>
      <c r="M87" t="s">
        <v>259</v>
      </c>
      <c r="N87" t="s">
        <v>57</v>
      </c>
      <c r="O87" t="s">
        <v>58</v>
      </c>
      <c r="P87" s="14">
        <v>570</v>
      </c>
      <c r="Q87" s="1" t="s">
        <v>268</v>
      </c>
      <c r="R87">
        <v>134</v>
      </c>
      <c r="S87">
        <f>IF(COUNTIF($K$8:K87, K87)=1, Table13[[#This Row],[Cutadapt_Metrics_Total_Reads]], 0)</f>
        <v>134</v>
      </c>
      <c r="T87" s="2">
        <f>(Table13[[#This Row],[Cutadapt_Metrics_Total_Reads]]/Table13[[#This Row],[Reads count]])*100</f>
        <v>14.090431125131442</v>
      </c>
      <c r="U87" t="s">
        <v>483</v>
      </c>
      <c r="V87" t="str">
        <f>Table13[[#This Row],[Amplicon_consensus]] &amp; "_Run" &amp; A87 &amp; "_Barcode" &amp; C87 &amp; "_" &amp; Table13[[#This Row],[Host]] &amp; "_" &amp; Table13[[#This Row],[Primers]]</f>
        <v>&gt;consensus_cl_id_2_total_supporting_reads_30_Run1_Barcode8_Gryllus bimaculatus_UnonMet</v>
      </c>
      <c r="W87">
        <v>30</v>
      </c>
      <c r="X87" s="17">
        <f>(Table13[[#This Row],[Supported_by_x_reads]]/Table13[[#This Row],[Cutadapt_Metrics_Total_Reads]])*100</f>
        <v>22.388059701492537</v>
      </c>
      <c r="Y87" t="s">
        <v>485</v>
      </c>
      <c r="Z87">
        <f>LEN(Table13[[#This Row],[Sequence]])</f>
        <v>608</v>
      </c>
      <c r="AA87" t="s">
        <v>339</v>
      </c>
      <c r="AB87" t="s">
        <v>340</v>
      </c>
      <c r="AC87" s="19">
        <v>89</v>
      </c>
      <c r="AD87" s="19">
        <v>97</v>
      </c>
      <c r="AE87" t="s">
        <v>67</v>
      </c>
      <c r="AG87" t="s">
        <v>54</v>
      </c>
      <c r="AH87" t="s">
        <v>31</v>
      </c>
      <c r="AI87" s="19"/>
      <c r="AJ87" s="19"/>
    </row>
    <row r="88" spans="1:36" ht="14.5" x14ac:dyDescent="0.35">
      <c r="A88" s="20">
        <v>1</v>
      </c>
      <c r="B88" s="15">
        <v>44686</v>
      </c>
      <c r="C88" s="14">
        <v>8</v>
      </c>
      <c r="D88" t="str">
        <f>Table13[[#This Row],[Nanopore_Run]] &amp; "_" &amp; Table13[[#This Row],[Barcode_ID]]</f>
        <v>1_8</v>
      </c>
      <c r="E88" s="14">
        <v>951</v>
      </c>
      <c r="F88">
        <f>IF(COUNTIF($D$8:D88, D88)=1, Table13[[#This Row],[Reads count]], 0)</f>
        <v>0</v>
      </c>
      <c r="G88" s="27">
        <v>88.156504100946449</v>
      </c>
      <c r="H88" s="1" t="s">
        <v>117</v>
      </c>
      <c r="I88" t="s">
        <v>24</v>
      </c>
      <c r="J88" t="s">
        <v>56</v>
      </c>
      <c r="K88" t="str">
        <f t="shared" si="3"/>
        <v>1_8_UnonMet</v>
      </c>
      <c r="L88">
        <v>3</v>
      </c>
      <c r="M88" t="s">
        <v>259</v>
      </c>
      <c r="N88" t="s">
        <v>57</v>
      </c>
      <c r="O88" t="s">
        <v>58</v>
      </c>
      <c r="P88" s="14">
        <v>570</v>
      </c>
      <c r="Q88" s="1" t="s">
        <v>268</v>
      </c>
      <c r="R88">
        <v>134</v>
      </c>
      <c r="S88">
        <f>IF(COUNTIF($K$8:K88, K88)=1, Table13[[#This Row],[Cutadapt_Metrics_Total_Reads]], 0)</f>
        <v>0</v>
      </c>
      <c r="T88" s="2">
        <f>(Table13[[#This Row],[Cutadapt_Metrics_Total_Reads]]/Table13[[#This Row],[Reads count]])*100</f>
        <v>14.090431125131442</v>
      </c>
      <c r="U88" t="s">
        <v>484</v>
      </c>
      <c r="V88" t="str">
        <f>Table13[[#This Row],[Amplicon_consensus]] &amp; "_Run" &amp; A88 &amp; "_Barcode" &amp; C88 &amp; "_" &amp; Table13[[#This Row],[Host]] &amp; "_" &amp; Table13[[#This Row],[Primers]]</f>
        <v>&gt;consensus_cl_id_4_total_supporting_reads_48_Run1_Barcode8_Gryllus bimaculatus_UnonMet</v>
      </c>
      <c r="W88">
        <v>48</v>
      </c>
      <c r="X88" s="17">
        <f>(Table13[[#This Row],[Supported_by_x_reads]]/Table13[[#This Row],[Cutadapt_Metrics_Total_Reads]])*100</f>
        <v>35.820895522388057</v>
      </c>
      <c r="Y88" t="s">
        <v>486</v>
      </c>
      <c r="Z88">
        <f>LEN(Table13[[#This Row],[Sequence]])</f>
        <v>599</v>
      </c>
      <c r="AA88" t="s">
        <v>339</v>
      </c>
      <c r="AB88" t="s">
        <v>340</v>
      </c>
      <c r="AC88" s="19">
        <v>91</v>
      </c>
      <c r="AD88" s="19">
        <v>97</v>
      </c>
      <c r="AE88" t="s">
        <v>67</v>
      </c>
      <c r="AG88" t="s">
        <v>32</v>
      </c>
      <c r="AH88" t="str" cm="1">
        <f t="array" ref="AH88">ReverseComplement(Table13[[#This Row],[Sequence]])</f>
        <v>TAATTGGAATGAGTACGTATTGCTAAGGTTAAACGTAACTTGGTTTGTTCCCGAACAGCACCTCGGTAATTCCAGCTCCAAGAGCGTATATTAAAATTGTTGCAGTTAAAAAGCTCGTAGTTGAACCTTGGGTCTGGCTGGCCGGTCCGCTTTTATGCGAGTACTGGACCCAGCCGGGCCTTTCCTTCTGGCTAACCTTTGCCTTCGCTGGCGAACCAGGACTTTTACTTTGAAAAAATTAGAGTGTTCAAAGCAGGCCTTTGCTCGAATATATTAGCATGGAATAATAGAATAGGACGTTATGGTTCTATTTTGTTGGTTTCTAGGACCATCGTAATGATTAATAGGAACGGTCGGGGGCATCAGTATTCAGTTGTCAGAGGTGAAATTCTTGGATTTACTGAAGACTAACTACTGCGAAAGCATTTGCCAAGGACGTTTTCATTAATCAAGAACGAAAGTTAGGGGATCGAAGATGATCAGATACCGTCGTAGTCTTAACCATAAACTATGCCGACTAGGGATCGGGCGCTGTTCTATTTTGACACGCTCGGCACCTTACGAGAAATCAAAGTTTTTGGGTTCTGGGGGAGTATGGT</v>
      </c>
      <c r="AI88" s="19"/>
      <c r="AJ88" s="19"/>
    </row>
    <row r="89" spans="1:36" ht="14.5" x14ac:dyDescent="0.35">
      <c r="A89" s="20">
        <v>1</v>
      </c>
      <c r="B89" s="15">
        <v>44686</v>
      </c>
      <c r="C89" s="14">
        <v>8</v>
      </c>
      <c r="D89" t="str">
        <f>Table13[[#This Row],[Nanopore_Run]] &amp; "_" &amp; Table13[[#This Row],[Barcode_ID]]</f>
        <v>1_8</v>
      </c>
      <c r="E89" s="14">
        <v>951</v>
      </c>
      <c r="F89">
        <f>IF(COUNTIF($D$8:D89, D89)=1, Table13[[#This Row],[Reads count]], 0)</f>
        <v>0</v>
      </c>
      <c r="G89" s="27">
        <v>88.156504100946449</v>
      </c>
      <c r="H89" s="1" t="s">
        <v>117</v>
      </c>
      <c r="I89" t="s">
        <v>24</v>
      </c>
      <c r="J89" t="s">
        <v>56</v>
      </c>
      <c r="K89" t="str">
        <f t="shared" si="3"/>
        <v>1_8_UnonMet</v>
      </c>
      <c r="L89">
        <v>3</v>
      </c>
      <c r="M89" t="s">
        <v>259</v>
      </c>
      <c r="N89" t="s">
        <v>57</v>
      </c>
      <c r="O89" t="s">
        <v>58</v>
      </c>
      <c r="P89" s="14">
        <v>570</v>
      </c>
      <c r="Q89" s="1" t="s">
        <v>268</v>
      </c>
      <c r="R89">
        <v>134</v>
      </c>
      <c r="S89">
        <f>IF(COUNTIF($K$8:K89, K89)=1, Table13[[#This Row],[Cutadapt_Metrics_Total_Reads]], 0)</f>
        <v>0</v>
      </c>
      <c r="T89" s="2">
        <f>(Table13[[#This Row],[Cutadapt_Metrics_Total_Reads]]/Table13[[#This Row],[Reads count]])*100</f>
        <v>14.090431125131442</v>
      </c>
      <c r="U89" t="s">
        <v>118</v>
      </c>
      <c r="V89" t="str">
        <f>Table13[[#This Row],[Amplicon_consensus]] &amp; "_Run" &amp; A89 &amp; "_Barcode" &amp; C89 &amp; "_" &amp; Table13[[#This Row],[Host]] &amp; "_" &amp; Table13[[#This Row],[Primers]]</f>
        <v>&gt;consensus_cl_id_6_total_supporting_reads_18_Run1_Barcode8_Gryllus bimaculatus_UnonMet</v>
      </c>
      <c r="W89">
        <v>18</v>
      </c>
      <c r="X89" s="17">
        <f>(Table13[[#This Row],[Supported_by_x_reads]]/Table13[[#This Row],[Cutadapt_Metrics_Total_Reads]])*100</f>
        <v>13.432835820895523</v>
      </c>
      <c r="Y89" t="s">
        <v>119</v>
      </c>
      <c r="Z89">
        <f>LEN(Table13[[#This Row],[Sequence]])</f>
        <v>591</v>
      </c>
      <c r="AA89" t="s">
        <v>487</v>
      </c>
      <c r="AB89" t="s">
        <v>280</v>
      </c>
      <c r="AC89">
        <v>92</v>
      </c>
      <c r="AD89">
        <v>99.6</v>
      </c>
      <c r="AE89" t="s">
        <v>47</v>
      </c>
      <c r="AF89" t="s">
        <v>32</v>
      </c>
      <c r="AG89" t="s">
        <v>32</v>
      </c>
      <c r="AH89" t="s">
        <v>120</v>
      </c>
      <c r="AI89">
        <f>LEN(Table13[[#This Row],[Correct_seq_if_RC]])</f>
        <v>591</v>
      </c>
      <c r="AJ89" t="str">
        <f>IF(Table13[[#This Row],[Column1]]=Table13[[#This Row],[Sequence_length]],"yes","no")</f>
        <v>yes</v>
      </c>
    </row>
    <row r="90" spans="1:36" ht="14.5" x14ac:dyDescent="0.35">
      <c r="A90" s="20">
        <v>1</v>
      </c>
      <c r="B90" s="15">
        <v>44686</v>
      </c>
      <c r="C90" s="14">
        <v>9</v>
      </c>
      <c r="D90" t="str">
        <f>Table13[[#This Row],[Nanopore_Run]] &amp; "_" &amp; Table13[[#This Row],[Barcode_ID]]</f>
        <v>1_9</v>
      </c>
      <c r="E90" s="14">
        <v>1277</v>
      </c>
      <c r="F90">
        <f>IF(COUNTIF($D$8:D90, D90)=1, Table13[[#This Row],[Reads count]], 0)</f>
        <v>1277</v>
      </c>
      <c r="G90" s="27">
        <v>88.62137086922445</v>
      </c>
      <c r="H90" s="1" t="s">
        <v>138</v>
      </c>
      <c r="I90" t="s">
        <v>64</v>
      </c>
      <c r="J90" t="s">
        <v>56</v>
      </c>
      <c r="K90" t="str">
        <f t="shared" si="3"/>
        <v>1_9_UnonMet</v>
      </c>
      <c r="L90">
        <v>2</v>
      </c>
      <c r="M90" t="s">
        <v>259</v>
      </c>
      <c r="N90" t="s">
        <v>57</v>
      </c>
      <c r="O90" t="s">
        <v>58</v>
      </c>
      <c r="P90" s="14">
        <v>571</v>
      </c>
      <c r="Q90" s="1" t="s">
        <v>268</v>
      </c>
      <c r="R90">
        <v>206</v>
      </c>
      <c r="S90">
        <f>IF(COUNTIF($K$8:K90, K90)=1, Table13[[#This Row],[Cutadapt_Metrics_Total_Reads]], 0)</f>
        <v>206</v>
      </c>
      <c r="T90" s="2">
        <f>(Table13[[#This Row],[Cutadapt_Metrics_Total_Reads]]/Table13[[#This Row],[Reads count]])*100</f>
        <v>16.131558339859044</v>
      </c>
      <c r="U90" t="s">
        <v>139</v>
      </c>
      <c r="V90" t="str">
        <f>Table13[[#This Row],[Amplicon_consensus]] &amp; "_Run" &amp; A90 &amp; "_Barcode" &amp; C90 &amp; "_" &amp; Table13[[#This Row],[Host]] &amp; "_" &amp; Table13[[#This Row],[Primers]]</f>
        <v>&gt;consensus_cl_id_11_total_supporting_reads_79_Run1_Barcode9_Galleria mellonella_UnonMet</v>
      </c>
      <c r="W90">
        <v>79</v>
      </c>
      <c r="X90" s="17">
        <f>(Table13[[#This Row],[Supported_by_x_reads]]/Table13[[#This Row],[Cutadapt_Metrics_Total_Reads]])*100</f>
        <v>38.349514563106794</v>
      </c>
      <c r="Y90" t="s">
        <v>140</v>
      </c>
      <c r="Z90">
        <f>LEN(Table13[[#This Row],[Sequence]])</f>
        <v>597</v>
      </c>
      <c r="AA90" t="s">
        <v>141</v>
      </c>
      <c r="AB90" t="s">
        <v>338</v>
      </c>
      <c r="AC90">
        <v>92</v>
      </c>
      <c r="AD90">
        <v>96.9</v>
      </c>
      <c r="AE90" t="s">
        <v>67</v>
      </c>
      <c r="AG90" t="s">
        <v>32</v>
      </c>
      <c r="AH90" t="str" cm="1">
        <f t="array" ref="AH90">ReverseComplement(Table13[[#This Row],[Sequence]])</f>
        <v>GCCAAGTTACGTATTGCTAAGGTTAAAACCAAGACTCGCTGTGCCTAGTTCAGCACCTCGGTAATTCCAGCTCCAATAGCGTATATTAAAATTGTTGCAGTTAAAAAGCTCGTAGTTGAACCTTGGGTCTGGCTGGCCGGTCCGCCTTTTATGCGAGTACTGGACCCAGCCGGGCCTTTCCTTCTGGCTAACCTTTCGCCTTCTCGTGGCGAACCAGGACTTTTACTTTGAAAAAATTAGAGTGTTCAAAGCAGGCCTTTGCTCGAATATATTAGCATGGAATAATAGAATAGGACGTTATGGTTCTATTTTGTTGGTTTCTAGGACCATCGTAATGATTAATAGGAACGGTCGGGGGCATCAGTATTCAGTTGTCAGAGGTGAAATTCTTGGATTTACTGAAGACTAACTACTGCGAAAGCATTTGCCAAGGATGTTTTCATTAATCAAGAACGAAAGTTAGGGGATCGAAGATGATCAGATACCGTCGTAGTCTTAACCATAAACTATGCCGACTAGGGATCGGGCGCTGTTCTTTTCTGACACGCTCGGCACCTTACGAGAAATCAAAGTTTTTGGGTTCTGGGGGAGTATGGT</v>
      </c>
    </row>
    <row r="91" spans="1:36" ht="14.5" x14ac:dyDescent="0.35">
      <c r="A91" s="20">
        <v>1</v>
      </c>
      <c r="B91" s="15">
        <v>44686</v>
      </c>
      <c r="C91" s="14">
        <v>9</v>
      </c>
      <c r="D91" t="str">
        <f>Table13[[#This Row],[Nanopore_Run]] &amp; "_" &amp; Table13[[#This Row],[Barcode_ID]]</f>
        <v>1_9</v>
      </c>
      <c r="E91" s="14">
        <v>1277</v>
      </c>
      <c r="F91">
        <f>IF(COUNTIF($D$8:D91, D91)=1, Table13[[#This Row],[Reads count]], 0)</f>
        <v>0</v>
      </c>
      <c r="G91" s="27">
        <v>88.62137086922445</v>
      </c>
      <c r="H91" s="1" t="s">
        <v>138</v>
      </c>
      <c r="I91" t="s">
        <v>64</v>
      </c>
      <c r="J91" t="s">
        <v>56</v>
      </c>
      <c r="K91" t="str">
        <f t="shared" si="3"/>
        <v>1_9_UnonMet</v>
      </c>
      <c r="L91">
        <v>2</v>
      </c>
      <c r="M91" t="s">
        <v>259</v>
      </c>
      <c r="N91" t="s">
        <v>57</v>
      </c>
      <c r="O91" t="s">
        <v>58</v>
      </c>
      <c r="P91" s="14">
        <v>571</v>
      </c>
      <c r="Q91" s="1" t="s">
        <v>268</v>
      </c>
      <c r="R91">
        <v>206</v>
      </c>
      <c r="S91">
        <f>IF(COUNTIF($K$8:K91, K91)=1, Table13[[#This Row],[Cutadapt_Metrics_Total_Reads]], 0)</f>
        <v>0</v>
      </c>
      <c r="T91" s="2">
        <f>(Table13[[#This Row],[Cutadapt_Metrics_Total_Reads]]/Table13[[#This Row],[Reads count]])*100</f>
        <v>16.131558339859044</v>
      </c>
      <c r="U91" t="s">
        <v>488</v>
      </c>
      <c r="V91" t="str">
        <f>Table13[[#This Row],[Amplicon_consensus]] &amp; "_Run" &amp; A91 &amp; "_Barcode" &amp; C91 &amp; "_" &amp; Table13[[#This Row],[Host]] &amp; "_" &amp; Table13[[#This Row],[Primers]]</f>
        <v>&gt;consensus_cl_id_6_total_supporting_reads_30_Run1_Barcode9_Galleria mellonella_UnonMet</v>
      </c>
      <c r="W91">
        <v>30</v>
      </c>
      <c r="X91" s="17">
        <f>(Table13[[#This Row],[Supported_by_x_reads]]/Table13[[#This Row],[Cutadapt_Metrics_Total_Reads]])*100</f>
        <v>14.563106796116504</v>
      </c>
      <c r="Y91" t="s">
        <v>489</v>
      </c>
      <c r="Z91">
        <f>LEN(Table13[[#This Row],[Sequence]])</f>
        <v>613</v>
      </c>
      <c r="AA91" t="s">
        <v>339</v>
      </c>
      <c r="AB91" t="s">
        <v>340</v>
      </c>
      <c r="AC91">
        <v>88</v>
      </c>
      <c r="AD91">
        <v>97</v>
      </c>
      <c r="AE91" t="s">
        <v>67</v>
      </c>
      <c r="AG91" t="s">
        <v>54</v>
      </c>
      <c r="AH91" t="s">
        <v>31</v>
      </c>
    </row>
    <row r="92" spans="1:36" ht="14.5" x14ac:dyDescent="0.35">
      <c r="A92" s="20">
        <v>1</v>
      </c>
      <c r="B92" s="15">
        <v>44686</v>
      </c>
      <c r="C92" s="14">
        <v>10</v>
      </c>
      <c r="D92" t="str">
        <f>Table13[[#This Row],[Nanopore_Run]] &amp; "_" &amp; Table13[[#This Row],[Barcode_ID]]</f>
        <v>1_10</v>
      </c>
      <c r="E92">
        <v>1100</v>
      </c>
      <c r="F92">
        <f>IF(COUNTIF($D$8:D92, D92)=1, Table13[[#This Row],[Reads count]], 0)</f>
        <v>1100</v>
      </c>
      <c r="G92" s="16">
        <v>89.630975818181469</v>
      </c>
      <c r="H92" s="1" t="s">
        <v>134</v>
      </c>
      <c r="I92" s="1" t="s">
        <v>51</v>
      </c>
      <c r="J92" t="s">
        <v>56</v>
      </c>
      <c r="K92" t="str">
        <f t="shared" si="3"/>
        <v>1_10_UnonMet</v>
      </c>
      <c r="L92">
        <v>3</v>
      </c>
      <c r="M92" t="s">
        <v>259</v>
      </c>
      <c r="N92" t="s">
        <v>57</v>
      </c>
      <c r="O92" t="s">
        <v>58</v>
      </c>
      <c r="P92" s="14">
        <v>572</v>
      </c>
      <c r="Q92" s="1" t="s">
        <v>268</v>
      </c>
      <c r="R92">
        <v>215</v>
      </c>
      <c r="S92">
        <f>IF(COUNTIF($K$8:K92, K92)=1, Table13[[#This Row],[Cutadapt_Metrics_Total_Reads]], 0)</f>
        <v>215</v>
      </c>
      <c r="T92" s="2">
        <f>(Table13[[#This Row],[Cutadapt_Metrics_Total_Reads]]/Table13[[#This Row],[Reads count]])*100</f>
        <v>19.545454545454547</v>
      </c>
      <c r="U92" t="s">
        <v>135</v>
      </c>
      <c r="V92" t="str">
        <f>Table13[[#This Row],[Amplicon_consensus]] &amp; "_Run" &amp; A92 &amp; "_Barcode" &amp; C92 &amp; "_" &amp; Table13[[#This Row],[Host]] &amp; "_" &amp; Table13[[#This Row],[Primers]]</f>
        <v>&gt;consensus_cl_id_12_total_supporting_reads_29_Run1_Barcode10_Gryllus assimilis_UnonMet</v>
      </c>
      <c r="W92">
        <v>29</v>
      </c>
      <c r="X92" s="17">
        <f>(Table13[[#This Row],[Supported_by_x_reads]]/Table13[[#This Row],[Cutadapt_Metrics_Total_Reads]])*100</f>
        <v>13.488372093023257</v>
      </c>
      <c r="Y92" t="s">
        <v>136</v>
      </c>
      <c r="Z92">
        <f>LEN(Table13[[#This Row],[Sequence]])</f>
        <v>585</v>
      </c>
      <c r="AA92" t="s">
        <v>494</v>
      </c>
      <c r="AB92" t="s">
        <v>280</v>
      </c>
      <c r="AC92">
        <v>92</v>
      </c>
      <c r="AD92">
        <v>99.4</v>
      </c>
      <c r="AE92" t="s">
        <v>47</v>
      </c>
      <c r="AF92" t="s">
        <v>54</v>
      </c>
      <c r="AG92" t="s">
        <v>32</v>
      </c>
      <c r="AH92" t="s">
        <v>137</v>
      </c>
    </row>
    <row r="93" spans="1:36" ht="14.5" x14ac:dyDescent="0.35">
      <c r="A93" s="20">
        <v>1</v>
      </c>
      <c r="B93" s="15">
        <v>44686</v>
      </c>
      <c r="C93" s="14">
        <v>10</v>
      </c>
      <c r="D93" t="str">
        <f>Table13[[#This Row],[Nanopore_Run]] &amp; "_" &amp; Table13[[#This Row],[Barcode_ID]]</f>
        <v>1_10</v>
      </c>
      <c r="E93">
        <v>1100</v>
      </c>
      <c r="F93">
        <f>IF(COUNTIF($D$8:D93, D93)=1, Table13[[#This Row],[Reads count]], 0)</f>
        <v>0</v>
      </c>
      <c r="G93" s="16">
        <v>89.630975818181469</v>
      </c>
      <c r="H93" s="1" t="s">
        <v>134</v>
      </c>
      <c r="I93" s="1" t="s">
        <v>51</v>
      </c>
      <c r="J93" t="s">
        <v>56</v>
      </c>
      <c r="K93" t="str">
        <f t="shared" si="3"/>
        <v>1_10_UnonMet</v>
      </c>
      <c r="L93">
        <v>3</v>
      </c>
      <c r="M93" t="s">
        <v>259</v>
      </c>
      <c r="N93" t="s">
        <v>57</v>
      </c>
      <c r="O93" t="s">
        <v>58</v>
      </c>
      <c r="P93" s="14">
        <v>572</v>
      </c>
      <c r="Q93" s="1" t="s">
        <v>268</v>
      </c>
      <c r="R93">
        <v>215</v>
      </c>
      <c r="S93">
        <f>IF(COUNTIF($K$8:K93, K93)=1, Table13[[#This Row],[Cutadapt_Metrics_Total_Reads]], 0)</f>
        <v>0</v>
      </c>
      <c r="T93" s="2">
        <f>(Table13[[#This Row],[Cutadapt_Metrics_Total_Reads]]/Table13[[#This Row],[Reads count]])*100</f>
        <v>19.545454545454547</v>
      </c>
      <c r="U93" t="s">
        <v>490</v>
      </c>
      <c r="V93" t="str">
        <f>Table13[[#This Row],[Amplicon_consensus]] &amp; "_Run" &amp; A93 &amp; "_Barcode" &amp; C93 &amp; "_" &amp; Table13[[#This Row],[Host]] &amp; "_" &amp; Table13[[#This Row],[Primers]]</f>
        <v>&gt;consensus_cl_id_1_total_supporting_reads_36_Run1_Barcode10_Gryllus assimilis_UnonMet</v>
      </c>
      <c r="W93">
        <v>36</v>
      </c>
      <c r="X93" s="17">
        <f>(Table13[[#This Row],[Supported_by_x_reads]]/Table13[[#This Row],[Cutadapt_Metrics_Total_Reads]])*100</f>
        <v>16.744186046511629</v>
      </c>
      <c r="Y93" t="s">
        <v>492</v>
      </c>
      <c r="Z93">
        <f>LEN(Table13[[#This Row],[Sequence]])</f>
        <v>605</v>
      </c>
      <c r="AA93" t="s">
        <v>141</v>
      </c>
      <c r="AB93" t="s">
        <v>495</v>
      </c>
      <c r="AC93">
        <v>88</v>
      </c>
      <c r="AD93">
        <v>99.2</v>
      </c>
      <c r="AE93" t="s">
        <v>67</v>
      </c>
      <c r="AG93" t="s">
        <v>54</v>
      </c>
      <c r="AH93" t="s">
        <v>31</v>
      </c>
    </row>
    <row r="94" spans="1:36" ht="14.5" x14ac:dyDescent="0.35">
      <c r="A94" s="20">
        <v>1</v>
      </c>
      <c r="B94" s="15">
        <v>44686</v>
      </c>
      <c r="C94" s="14">
        <v>10</v>
      </c>
      <c r="D94" t="str">
        <f>Table13[[#This Row],[Nanopore_Run]] &amp; "_" &amp; Table13[[#This Row],[Barcode_ID]]</f>
        <v>1_10</v>
      </c>
      <c r="E94">
        <v>1100</v>
      </c>
      <c r="F94">
        <f>IF(COUNTIF($D$8:D94, D94)=1, Table13[[#This Row],[Reads count]], 0)</f>
        <v>0</v>
      </c>
      <c r="G94" s="16">
        <v>89.630975818181469</v>
      </c>
      <c r="H94" s="1" t="s">
        <v>134</v>
      </c>
      <c r="I94" s="1" t="s">
        <v>51</v>
      </c>
      <c r="J94" t="s">
        <v>56</v>
      </c>
      <c r="K94" t="str">
        <f t="shared" si="3"/>
        <v>1_10_UnonMet</v>
      </c>
      <c r="L94">
        <v>3</v>
      </c>
      <c r="M94" t="s">
        <v>259</v>
      </c>
      <c r="N94" t="s">
        <v>57</v>
      </c>
      <c r="O94" t="s">
        <v>58</v>
      </c>
      <c r="P94" s="14">
        <v>572</v>
      </c>
      <c r="Q94" s="1" t="s">
        <v>268</v>
      </c>
      <c r="R94">
        <v>215</v>
      </c>
      <c r="S94">
        <f>IF(COUNTIF($K$8:K94, K94)=1, Table13[[#This Row],[Cutadapt_Metrics_Total_Reads]], 0)</f>
        <v>0</v>
      </c>
      <c r="T94" s="2">
        <f>(Table13[[#This Row],[Cutadapt_Metrics_Total_Reads]]/Table13[[#This Row],[Reads count]])*100</f>
        <v>19.545454545454547</v>
      </c>
      <c r="U94" t="s">
        <v>491</v>
      </c>
      <c r="V94" t="str">
        <f>Table13[[#This Row],[Amplicon_consensus]] &amp; "_Run" &amp; A94 &amp; "_Barcode" &amp; C94 &amp; "_" &amp; Table13[[#This Row],[Host]] &amp; "_" &amp; Table13[[#This Row],[Primers]]</f>
        <v>&gt;consensus_cl_id_2_total_supporting_reads_59_Run1_Barcode10_Gryllus assimilis_UnonMet</v>
      </c>
      <c r="W94">
        <v>59</v>
      </c>
      <c r="X94" s="17">
        <f>(Table13[[#This Row],[Supported_by_x_reads]]/Table13[[#This Row],[Cutadapt_Metrics_Total_Reads]])*100</f>
        <v>27.441860465116282</v>
      </c>
      <c r="Y94" t="s">
        <v>493</v>
      </c>
      <c r="Z94">
        <f>LEN(Table13[[#This Row],[Sequence]])</f>
        <v>615</v>
      </c>
      <c r="AA94" t="s">
        <v>141</v>
      </c>
      <c r="AB94" t="s">
        <v>495</v>
      </c>
      <c r="AC94">
        <v>88</v>
      </c>
      <c r="AD94">
        <v>99.3</v>
      </c>
      <c r="AE94" t="s">
        <v>67</v>
      </c>
      <c r="AG94" t="s">
        <v>32</v>
      </c>
      <c r="AH94" t="str" cm="1">
        <f t="array" ref="AH94">ReverseComplement(Table13[[#This Row],[Sequence]])</f>
        <v>AGTCTTAACCATAACCATCTCTCTCTCGCTGTTACGTATTGCTAAGGTTAAGAGAGGACAAAGGTTTCAACGCTTCAGCACCTCGGTAATTCCAGCTCCAAGAGCGTATCTTAAAATTGTTGCAGTTAAAAAGCTCGTAGTTGAACCTTGGGTCTGGCTGGCCGGTCCGCTTTTATGCGAGTACTGGACCCAGCCGGGCCTTTCCTTCTGGCTATGCCCTCGTGGCGAACCAGGACTTTTACTTTGAAAAAATTAGAGTGTTCAAAGCAGGCCTTTGCTCGAATATATTAGCATGGAATAATAGAATAGGACGTTATGGTTCTATTTTGTTGGTTTCTAGGACCATCGTAATGATTAATAGGAACGGTCGGGGGCATCAGTATTCAGTTGTCAGAGGTGAAATTCTTGGATTTACTGAAGACTAACTACTGCGAAAGCATTTGCCAAGGACGTTTTCATTAATCAAGAACGAAAGTTAGGGGATCGAAGATGATCAGATACCGTCGTAGTCTTAACCATAAACTATGCCGACTAGGGATCGGGCGCTGTTCATTTCTGACACGCTCGGCACCTTACGAGAAATCAAAGTTTTTGGGTTCTGGGGGAGTATGGTCG</v>
      </c>
      <c r="AI94">
        <f>LEN(Table13[[#This Row],[Correct_seq_if_RC]])</f>
        <v>615</v>
      </c>
      <c r="AJ94" t="str">
        <f>IF(Table13[[#This Row],[Column1]]=Table13[[#This Row],[Sequence_length]],"yes","no")</f>
        <v>yes</v>
      </c>
    </row>
    <row r="95" spans="1:36" ht="14.5" x14ac:dyDescent="0.35">
      <c r="A95" s="20">
        <v>2</v>
      </c>
      <c r="B95" s="15">
        <v>44715</v>
      </c>
      <c r="C95">
        <v>1</v>
      </c>
      <c r="D95" t="str">
        <f>Table13[[#This Row],[Nanopore_Run]] &amp; "_" &amp; Table13[[#This Row],[Barcode_ID]]</f>
        <v>2_1</v>
      </c>
      <c r="E95">
        <v>105</v>
      </c>
      <c r="F95">
        <f>IF(COUNTIF($D$8:D95, D95)=1, Table13[[#This Row],[Reads count]], 0)</f>
        <v>105</v>
      </c>
      <c r="G95" s="16">
        <v>92.330938095238139</v>
      </c>
      <c r="H95" s="1" t="s">
        <v>55</v>
      </c>
      <c r="I95" t="s">
        <v>39</v>
      </c>
      <c r="J95" t="s">
        <v>56</v>
      </c>
      <c r="K95" t="str">
        <f t="shared" si="3"/>
        <v>2_1_UnonMet</v>
      </c>
      <c r="L95">
        <v>2</v>
      </c>
      <c r="M95" t="s">
        <v>259</v>
      </c>
      <c r="N95" t="s">
        <v>57</v>
      </c>
      <c r="O95" t="s">
        <v>58</v>
      </c>
      <c r="P95" s="14">
        <v>573</v>
      </c>
      <c r="Q95" s="1" t="s">
        <v>268</v>
      </c>
      <c r="R95">
        <v>40</v>
      </c>
      <c r="S95">
        <f>IF(COUNTIF($K$8:K95, K95)=1, Table13[[#This Row],[Cutadapt_Metrics_Total_Reads]], 0)</f>
        <v>40</v>
      </c>
      <c r="T95" s="2">
        <f>(Table13[[#This Row],[Cutadapt_Metrics_Total_Reads]]/Table13[[#This Row],[Reads count]])*100</f>
        <v>38.095238095238095</v>
      </c>
      <c r="U95" t="s">
        <v>363</v>
      </c>
      <c r="W95">
        <v>15</v>
      </c>
      <c r="X95" s="17">
        <f>(Table13[[#This Row],[Supported_by_x_reads]]/Table13[[#This Row],[Cutadapt_Metrics_Total_Reads]])*100</f>
        <v>37.5</v>
      </c>
      <c r="Y95" t="s">
        <v>364</v>
      </c>
      <c r="Z95">
        <f>LEN(Table13[[#This Row],[Sequence]])</f>
        <v>657</v>
      </c>
      <c r="AA95" t="s">
        <v>61</v>
      </c>
      <c r="AB95" t="s">
        <v>362</v>
      </c>
      <c r="AC95">
        <v>89</v>
      </c>
      <c r="AD95">
        <v>99.5</v>
      </c>
      <c r="AE95" t="s">
        <v>45</v>
      </c>
      <c r="AF95" t="s">
        <v>54</v>
      </c>
      <c r="AG95" t="s">
        <v>54</v>
      </c>
      <c r="AH95" t="s">
        <v>31</v>
      </c>
    </row>
    <row r="96" spans="1:36" ht="14.5" x14ac:dyDescent="0.35">
      <c r="A96" s="20">
        <v>2</v>
      </c>
      <c r="B96" s="15">
        <v>44715</v>
      </c>
      <c r="C96">
        <v>1</v>
      </c>
      <c r="D96" t="str">
        <f>Table13[[#This Row],[Nanopore_Run]] &amp; "_" &amp; Table13[[#This Row],[Barcode_ID]]</f>
        <v>2_1</v>
      </c>
      <c r="E96">
        <v>105</v>
      </c>
      <c r="F96">
        <f>IF(COUNTIF($D$8:D96, D96)=1, Table13[[#This Row],[Reads count]], 0)</f>
        <v>0</v>
      </c>
      <c r="G96" s="16">
        <v>92.330938095238139</v>
      </c>
      <c r="H96" s="1" t="s">
        <v>55</v>
      </c>
      <c r="I96" t="s">
        <v>39</v>
      </c>
      <c r="J96" t="s">
        <v>56</v>
      </c>
      <c r="K96" t="str">
        <f t="shared" si="3"/>
        <v>2_1_UnonMet</v>
      </c>
      <c r="L96">
        <v>2</v>
      </c>
      <c r="M96" t="s">
        <v>259</v>
      </c>
      <c r="N96" t="s">
        <v>57</v>
      </c>
      <c r="O96" t="s">
        <v>58</v>
      </c>
      <c r="P96" s="14">
        <v>573</v>
      </c>
      <c r="Q96" s="1" t="s">
        <v>268</v>
      </c>
      <c r="R96">
        <v>40</v>
      </c>
      <c r="S96">
        <f>IF(COUNTIF($K$8:K96, K96)=1, Table13[[#This Row],[Cutadapt_Metrics_Total_Reads]], 0)</f>
        <v>0</v>
      </c>
      <c r="T96" s="2">
        <f>(Table13[[#This Row],[Cutadapt_Metrics_Total_Reads]]/Table13[[#This Row],[Reads count]])*100</f>
        <v>38.095238095238095</v>
      </c>
      <c r="U96" t="s">
        <v>59</v>
      </c>
      <c r="V96" t="str">
        <f>Table13[[#This Row],[Amplicon_consensus]] &amp; "_Run" &amp; A96 &amp; "_Barcode" &amp; C96 &amp; "_" &amp; Table13[[#This Row],[Host]] &amp; "_" &amp; Table13[[#This Row],[Primers]]</f>
        <v>&gt;consensus_cl_id_3_total_supporting_reads_17_Run2_Barcode1_Pieris brassicae_UnonMet</v>
      </c>
      <c r="W96">
        <v>17</v>
      </c>
      <c r="X96" s="17">
        <f>(Table13[[#This Row],[Supported_by_x_reads]]/Table13[[#This Row],[Cutadapt_Metrics_Total_Reads]])*100</f>
        <v>42.5</v>
      </c>
      <c r="Y96" t="s">
        <v>60</v>
      </c>
      <c r="Z96">
        <f>LEN(Table13[[#This Row],[Sequence]])</f>
        <v>611</v>
      </c>
      <c r="AA96" t="s">
        <v>61</v>
      </c>
      <c r="AB96" t="s">
        <v>362</v>
      </c>
      <c r="AC96">
        <v>95</v>
      </c>
      <c r="AD96">
        <v>99.8</v>
      </c>
      <c r="AE96" t="s">
        <v>45</v>
      </c>
      <c r="AF96" t="s">
        <v>32</v>
      </c>
      <c r="AG96" t="s">
        <v>32</v>
      </c>
      <c r="AH96" t="s">
        <v>62</v>
      </c>
      <c r="AI96">
        <f>LEN(Table13[[#This Row],[Correct_seq_if_RC]])</f>
        <v>611</v>
      </c>
      <c r="AJ96" t="str">
        <f>IF(Table13[[#This Row],[Column1]]=Table13[[#This Row],[Sequence_length]],"yes","no")</f>
        <v>yes</v>
      </c>
    </row>
    <row r="97" spans="1:36" ht="14.5" x14ac:dyDescent="0.35">
      <c r="A97" s="21">
        <v>2</v>
      </c>
      <c r="B97" s="15">
        <v>44715</v>
      </c>
      <c r="C97">
        <v>2</v>
      </c>
      <c r="D97" t="str">
        <f>Table13[[#This Row],[Nanopore_Run]] &amp; "_" &amp; Table13[[#This Row],[Barcode_ID]]</f>
        <v>2_2</v>
      </c>
      <c r="E97">
        <v>26</v>
      </c>
      <c r="F97">
        <f>IF(COUNTIF($D$8:D97, D97)=1, Table13[[#This Row],[Reads count]], 0)</f>
        <v>26</v>
      </c>
      <c r="G97" s="16">
        <v>90.413461538461533</v>
      </c>
      <c r="H97" s="1" t="s">
        <v>38</v>
      </c>
      <c r="I97" t="s">
        <v>39</v>
      </c>
      <c r="J97" s="1" t="s">
        <v>40</v>
      </c>
      <c r="K97" t="str">
        <f t="shared" si="3"/>
        <v>2_2_CM-V5RC / iLSUr</v>
      </c>
      <c r="L97">
        <v>1</v>
      </c>
      <c r="M97" s="1" t="s">
        <v>26</v>
      </c>
      <c r="N97" t="s">
        <v>41</v>
      </c>
      <c r="O97" t="s">
        <v>28</v>
      </c>
      <c r="P97" s="14">
        <v>2800</v>
      </c>
      <c r="Q97" s="1" t="s">
        <v>42</v>
      </c>
      <c r="R97">
        <v>1</v>
      </c>
      <c r="S97">
        <f>IF(COUNTIF($K$8:K97, K97)=1, Table13[[#This Row],[Cutadapt_Metrics_Total_Reads]], 0)</f>
        <v>1</v>
      </c>
      <c r="T97" s="2">
        <f>(Table13[[#This Row],[Cutadapt_Metrics_Total_Reads]]/Table13[[#This Row],[Reads count]])*100</f>
        <v>3.8461538461538463</v>
      </c>
      <c r="U97" t="s">
        <v>43</v>
      </c>
      <c r="V97" t="str">
        <f>Table13[[#This Row],[Amplicon_consensus]] &amp; "_Run" &amp; A97 &amp; "_Barcode" &amp; C97 &amp; "_" &amp; Table13[[#This Row],[Host]] &amp; "_" &amp; Table13[[#This Row],[Primers]]</f>
        <v>&gt;consensus_cl_id_0_total_supporting_reads_1_Run2_Barcode2_Pieris brassicae_CM-V5RC / iLSUr</v>
      </c>
      <c r="W97">
        <v>1</v>
      </c>
      <c r="X97" s="17">
        <f>(Table13[[#This Row],[Supported_by_x_reads]]/Table13[[#This Row],[Cutadapt_Metrics_Total_Reads]])*100</f>
        <v>100</v>
      </c>
      <c r="Y97" t="s">
        <v>44</v>
      </c>
      <c r="Z97">
        <f>LEN(Table13[[#This Row],[Sequence]])</f>
        <v>2779</v>
      </c>
      <c r="AA97" t="s">
        <v>367</v>
      </c>
      <c r="AB97" t="s">
        <v>368</v>
      </c>
      <c r="AC97">
        <v>31</v>
      </c>
      <c r="AD97">
        <v>96.3</v>
      </c>
      <c r="AE97" t="s">
        <v>45</v>
      </c>
      <c r="AF97" t="s">
        <v>54</v>
      </c>
      <c r="AG97" t="s">
        <v>31</v>
      </c>
      <c r="AH97" t="s">
        <v>31</v>
      </c>
      <c r="AI97">
        <f>LEN(Table13[[#This Row],[Correct_seq_if_RC]])</f>
        <v>2</v>
      </c>
      <c r="AJ97" t="str">
        <f>IF(Table13[[#This Row],[Column1]]=Table13[[#This Row],[Sequence_length]],"yes","no")</f>
        <v>no</v>
      </c>
    </row>
    <row r="98" spans="1:36" ht="14.5" x14ac:dyDescent="0.35">
      <c r="A98" s="21">
        <v>2</v>
      </c>
      <c r="B98" s="15">
        <v>44715</v>
      </c>
      <c r="C98">
        <v>2</v>
      </c>
      <c r="D98" t="str">
        <f>Table13[[#This Row],[Nanopore_Run]] &amp; "_" &amp; Table13[[#This Row],[Barcode_ID]]</f>
        <v>2_2</v>
      </c>
      <c r="E98">
        <v>26</v>
      </c>
      <c r="F98">
        <f>IF(COUNTIF($D$8:D98, D98)=1, Table13[[#This Row],[Reads count]], 0)</f>
        <v>0</v>
      </c>
      <c r="G98" s="16">
        <v>90.413461538461533</v>
      </c>
      <c r="H98" s="1" t="s">
        <v>38</v>
      </c>
      <c r="I98" t="s">
        <v>39</v>
      </c>
      <c r="J98" s="1" t="s">
        <v>25</v>
      </c>
      <c r="K98" t="str">
        <f t="shared" si="3"/>
        <v>2_2_GregRC / iLSUr</v>
      </c>
      <c r="L98">
        <v>1</v>
      </c>
      <c r="M98" s="1" t="s">
        <v>26</v>
      </c>
      <c r="N98" t="s">
        <v>27</v>
      </c>
      <c r="O98" t="s">
        <v>28</v>
      </c>
      <c r="P98" s="14">
        <v>3350</v>
      </c>
      <c r="Q98" s="1" t="s">
        <v>47</v>
      </c>
      <c r="R98">
        <v>1</v>
      </c>
      <c r="S98">
        <f>IF(COUNTIF($K$8:K98, K98)=1, Table13[[#This Row],[Cutadapt_Metrics_Total_Reads]], 0)</f>
        <v>1</v>
      </c>
      <c r="T98" s="2">
        <f>(Table13[[#This Row],[Cutadapt_Metrics_Total_Reads]]/Table13[[#This Row],[Reads count]])*100</f>
        <v>3.8461538461538463</v>
      </c>
      <c r="U98" t="s">
        <v>43</v>
      </c>
      <c r="V98" t="str">
        <f>Table13[[#This Row],[Amplicon_consensus]] &amp; "_Run" &amp; A98 &amp; "_Barcode" &amp; C98 &amp; "_" &amp; Table13[[#This Row],[Host]] &amp; "_" &amp; Table13[[#This Row],[Primers]]</f>
        <v>&gt;consensus_cl_id_0_total_supporting_reads_1_Run2_Barcode2_Pieris brassicae_GregRC / iLSUr</v>
      </c>
      <c r="W98">
        <v>1</v>
      </c>
      <c r="X98" s="17">
        <f>(Table13[[#This Row],[Supported_by_x_reads]]/Table13[[#This Row],[Cutadapt_Metrics_Total_Reads]])*100</f>
        <v>100</v>
      </c>
      <c r="Y98" t="s">
        <v>46</v>
      </c>
      <c r="Z98">
        <f>LEN(Table13[[#This Row],[Sequence]])</f>
        <v>3499</v>
      </c>
      <c r="AA98" t="s">
        <v>366</v>
      </c>
      <c r="AB98" t="s">
        <v>365</v>
      </c>
      <c r="AC98">
        <v>63</v>
      </c>
      <c r="AD98">
        <v>96</v>
      </c>
      <c r="AE98" s="1" t="s">
        <v>47</v>
      </c>
      <c r="AF98" s="1" t="s">
        <v>54</v>
      </c>
      <c r="AG98" t="s">
        <v>31</v>
      </c>
      <c r="AH98" t="s">
        <v>31</v>
      </c>
    </row>
    <row r="99" spans="1:36" ht="14.5" x14ac:dyDescent="0.35">
      <c r="A99" s="21">
        <v>2</v>
      </c>
      <c r="B99" s="15">
        <v>44715</v>
      </c>
      <c r="C99">
        <v>2</v>
      </c>
      <c r="D99" t="str">
        <f>Table13[[#This Row],[Nanopore_Run]] &amp; "_" &amp; Table13[[#This Row],[Barcode_ID]]</f>
        <v>2_2</v>
      </c>
      <c r="E99">
        <v>26</v>
      </c>
      <c r="F99">
        <f>IF(COUNTIF($D$8:D99, D99)=1, Table13[[#This Row],[Reads count]], 0)</f>
        <v>0</v>
      </c>
      <c r="G99" s="16">
        <v>90.413461538461533</v>
      </c>
      <c r="H99" s="1" t="s">
        <v>38</v>
      </c>
      <c r="I99" t="s">
        <v>39</v>
      </c>
      <c r="J99" s="1" t="s">
        <v>48</v>
      </c>
      <c r="K99" t="str">
        <f t="shared" si="3"/>
        <v>2_2_KinetRC / iLSUr</v>
      </c>
      <c r="L99">
        <v>1</v>
      </c>
      <c r="M99" s="1" t="s">
        <v>26</v>
      </c>
      <c r="N99" t="s">
        <v>49</v>
      </c>
      <c r="O99" t="s">
        <v>28</v>
      </c>
      <c r="P99" s="14">
        <v>2000</v>
      </c>
      <c r="Q99" s="1" t="s">
        <v>257</v>
      </c>
      <c r="R99">
        <v>0</v>
      </c>
      <c r="S99">
        <f>IF(COUNTIF($K$8:K99, K99)=1, Table13[[#This Row],[Cutadapt_Metrics_Total_Reads]], 0)</f>
        <v>0</v>
      </c>
      <c r="T99" s="2">
        <f>(Table13[[#This Row],[Cutadapt_Metrics_Total_Reads]]/Table13[[#This Row],[Reads count]])*100</f>
        <v>0</v>
      </c>
      <c r="U99" s="14" t="s">
        <v>31</v>
      </c>
      <c r="V99" s="14" t="s">
        <v>31</v>
      </c>
      <c r="W99" s="14" t="s">
        <v>31</v>
      </c>
      <c r="X99" s="14" t="s">
        <v>31</v>
      </c>
      <c r="Y99" s="14" t="s">
        <v>31</v>
      </c>
      <c r="Z99" s="14" t="s">
        <v>31</v>
      </c>
      <c r="AA99" s="1" t="s">
        <v>31</v>
      </c>
      <c r="AB99" s="1" t="s">
        <v>31</v>
      </c>
      <c r="AC99" s="1" t="s">
        <v>31</v>
      </c>
      <c r="AD99" s="1" t="s">
        <v>31</v>
      </c>
      <c r="AE99" s="1" t="s">
        <v>31</v>
      </c>
      <c r="AF99" s="1" t="s">
        <v>31</v>
      </c>
      <c r="AG99" s="1" t="s">
        <v>31</v>
      </c>
      <c r="AH99" s="1" t="s">
        <v>31</v>
      </c>
      <c r="AI99" s="14"/>
      <c r="AJ99" s="14"/>
    </row>
    <row r="100" spans="1:36" ht="14.5" x14ac:dyDescent="0.35">
      <c r="A100" s="21">
        <v>2</v>
      </c>
      <c r="B100" s="15">
        <v>44715</v>
      </c>
      <c r="C100">
        <v>3</v>
      </c>
      <c r="D100" t="str">
        <f>Table13[[#This Row],[Nanopore_Run]] &amp; "_" &amp; Table13[[#This Row],[Barcode_ID]]</f>
        <v>2_3</v>
      </c>
      <c r="E100">
        <v>10</v>
      </c>
      <c r="F100">
        <f>IF(COUNTIF($D$8:D100, D100)=1, Table13[[#This Row],[Reads count]], 0)</f>
        <v>10</v>
      </c>
      <c r="G100" s="16">
        <v>96.283330000000007</v>
      </c>
      <c r="H100" s="1" t="s">
        <v>23</v>
      </c>
      <c r="I100" t="s">
        <v>24</v>
      </c>
      <c r="J100" s="1" t="s">
        <v>25</v>
      </c>
      <c r="K100" t="str">
        <f t="shared" si="3"/>
        <v>2_3_GregRC / iLSUr</v>
      </c>
      <c r="L100">
        <v>1</v>
      </c>
      <c r="M100" s="1" t="s">
        <v>26</v>
      </c>
      <c r="N100" t="s">
        <v>27</v>
      </c>
      <c r="O100" t="s">
        <v>28</v>
      </c>
      <c r="P100" s="14">
        <v>3350</v>
      </c>
      <c r="Q100" s="1" t="s">
        <v>47</v>
      </c>
      <c r="R100">
        <v>4</v>
      </c>
      <c r="S100">
        <f>IF(COUNTIF($K$8:K100, K100)=1, Table13[[#This Row],[Cutadapt_Metrics_Total_Reads]], 0)</f>
        <v>4</v>
      </c>
      <c r="T100" s="2">
        <f>(Table13[[#This Row],[Cutadapt_Metrics_Total_Reads]]/Table13[[#This Row],[Reads count]])*100</f>
        <v>40</v>
      </c>
      <c r="U100" t="s">
        <v>29</v>
      </c>
      <c r="V100" t="str">
        <f>Table13[[#This Row],[Amplicon_consensus]] &amp; "_Run" &amp; A100 &amp; "_Barcode" &amp; C100 &amp; "_" &amp; Table13[[#This Row],[Host]] &amp; "_" &amp; Table13[[#This Row],[Primers]]</f>
        <v>&gt;consensus_cl_id_0_total_supporting_reads_4_Run2_Barcode3_Gryllus bimaculatus_GregRC / iLSUr</v>
      </c>
      <c r="W100">
        <v>4</v>
      </c>
      <c r="X100" s="17">
        <f>(Table13[[#This Row],[Supported_by_x_reads]]/Table13[[#This Row],[Cutadapt_Metrics_Total_Reads]])*100</f>
        <v>100</v>
      </c>
      <c r="Y100" t="s">
        <v>30</v>
      </c>
      <c r="Z100">
        <f>LEN(Table13[[#This Row],[Sequence]])</f>
        <v>3190</v>
      </c>
      <c r="AA100" t="s">
        <v>366</v>
      </c>
      <c r="AB100" t="s">
        <v>365</v>
      </c>
      <c r="AC100">
        <v>69</v>
      </c>
      <c r="AD100">
        <v>92.3</v>
      </c>
      <c r="AE100" s="1" t="s">
        <v>47</v>
      </c>
      <c r="AF100" s="1" t="s">
        <v>32</v>
      </c>
      <c r="AG100" t="s">
        <v>32</v>
      </c>
      <c r="AH100" t="s">
        <v>33</v>
      </c>
    </row>
    <row r="101" spans="1:36" ht="14.5" x14ac:dyDescent="0.35">
      <c r="A101" s="21">
        <v>2</v>
      </c>
      <c r="B101" s="15">
        <v>44715</v>
      </c>
      <c r="C101">
        <v>4</v>
      </c>
      <c r="D101" t="str">
        <f>Table13[[#This Row],[Nanopore_Run]] &amp; "_" &amp; Table13[[#This Row],[Barcode_ID]]</f>
        <v>2_4</v>
      </c>
      <c r="E101">
        <v>40</v>
      </c>
      <c r="F101">
        <f>IF(COUNTIF($D$8:D101, D101)=1, Table13[[#This Row],[Reads count]], 0)</f>
        <v>40</v>
      </c>
      <c r="G101" s="16">
        <v>84.906255000000016</v>
      </c>
      <c r="H101" s="1" t="s">
        <v>50</v>
      </c>
      <c r="I101" s="1" t="s">
        <v>51</v>
      </c>
      <c r="J101" s="1" t="s">
        <v>25</v>
      </c>
      <c r="K101" t="str">
        <f t="shared" si="3"/>
        <v>2_4_GregRC / iLSUr</v>
      </c>
      <c r="L101">
        <v>2</v>
      </c>
      <c r="M101" s="1" t="s">
        <v>26</v>
      </c>
      <c r="N101" t="s">
        <v>27</v>
      </c>
      <c r="O101" t="s">
        <v>28</v>
      </c>
      <c r="P101" s="14">
        <v>3350</v>
      </c>
      <c r="Q101" s="1" t="s">
        <v>47</v>
      </c>
      <c r="R101">
        <v>11</v>
      </c>
      <c r="S101">
        <f>IF(COUNTIF($K$8:K101, K101)=1, Table13[[#This Row],[Cutadapt_Metrics_Total_Reads]], 0)</f>
        <v>11</v>
      </c>
      <c r="T101" s="2">
        <f>(Table13[[#This Row],[Cutadapt_Metrics_Total_Reads]]/Table13[[#This Row],[Reads count]])*100</f>
        <v>27.500000000000004</v>
      </c>
      <c r="U101" t="s">
        <v>52</v>
      </c>
      <c r="V101" t="str">
        <f>Table13[[#This Row],[Amplicon_consensus]] &amp; "_Run" &amp; A101 &amp; "_Barcode" &amp; C101 &amp; "_" &amp; Table13[[#This Row],[Host]] &amp; "_" &amp; Table13[[#This Row],[Primers]]</f>
        <v>&gt;consensus_cl_id_0_total_supporting_reads_6_Run2_Barcode4_Gryllus assimilis_GregRC / iLSUr</v>
      </c>
      <c r="W101">
        <v>6</v>
      </c>
      <c r="X101" s="17">
        <f>(Table13[[#This Row],[Supported_by_x_reads]]/Table13[[#This Row],[Cutadapt_Metrics_Total_Reads]])*100</f>
        <v>54.54545454545454</v>
      </c>
      <c r="Y101" t="s">
        <v>53</v>
      </c>
      <c r="Z101">
        <f>LEN(Table13[[#This Row],[Sequence]])</f>
        <v>3347</v>
      </c>
      <c r="AA101" t="s">
        <v>366</v>
      </c>
      <c r="AB101" t="s">
        <v>365</v>
      </c>
      <c r="AC101">
        <v>68</v>
      </c>
      <c r="AD101">
        <v>99.2</v>
      </c>
      <c r="AE101" s="1" t="s">
        <v>47</v>
      </c>
      <c r="AF101" s="1" t="s">
        <v>32</v>
      </c>
      <c r="AG101" t="s">
        <v>54</v>
      </c>
      <c r="AH101" t="s">
        <v>31</v>
      </c>
    </row>
    <row r="102" spans="1:36" ht="14.5" x14ac:dyDescent="0.35">
      <c r="A102" s="21">
        <v>2</v>
      </c>
      <c r="B102" s="15">
        <v>44715</v>
      </c>
      <c r="C102">
        <v>4</v>
      </c>
      <c r="D102" t="str">
        <f>Table13[[#This Row],[Nanopore_Run]] &amp; "_" &amp; Table13[[#This Row],[Barcode_ID]]</f>
        <v>2_4</v>
      </c>
      <c r="E102">
        <v>40</v>
      </c>
      <c r="F102">
        <f>IF(COUNTIF($D$8:D102, D102)=1, Table13[[#This Row],[Reads count]], 0)</f>
        <v>0</v>
      </c>
      <c r="G102" s="16">
        <v>84.906255000000016</v>
      </c>
      <c r="H102" s="1" t="s">
        <v>50</v>
      </c>
      <c r="I102" s="1" t="s">
        <v>51</v>
      </c>
      <c r="J102" s="1" t="s">
        <v>25</v>
      </c>
      <c r="K102" t="str">
        <f t="shared" si="3"/>
        <v>2_4_GregRC / iLSUr</v>
      </c>
      <c r="L102">
        <v>2</v>
      </c>
      <c r="M102" s="1" t="s">
        <v>26</v>
      </c>
      <c r="N102" t="s">
        <v>27</v>
      </c>
      <c r="O102" t="s">
        <v>28</v>
      </c>
      <c r="P102" s="14">
        <v>3350</v>
      </c>
      <c r="Q102" s="1" t="s">
        <v>47</v>
      </c>
      <c r="R102">
        <v>11</v>
      </c>
      <c r="S102">
        <f>IF(COUNTIF($K$8:K102, K102)=1, Table13[[#This Row],[Cutadapt_Metrics_Total_Reads]], 0)</f>
        <v>0</v>
      </c>
      <c r="T102" s="2">
        <f>(Table13[[#This Row],[Cutadapt_Metrics_Total_Reads]]/Table13[[#This Row],[Reads count]])*100</f>
        <v>27.500000000000004</v>
      </c>
      <c r="U102" t="s">
        <v>369</v>
      </c>
      <c r="V102" t="str">
        <f>Table13[[#This Row],[Amplicon_consensus]] &amp; "_Run" &amp; A102 &amp; "_Barcode" &amp; C102 &amp; "_" &amp; Table13[[#This Row],[Host]] &amp; "_" &amp; Table13[[#This Row],[Primers]]</f>
        <v>&gt;consensus_cl_id_1_total_supporting_reads_5_Run2_Barcode4_Gryllus assimilis_GregRC / iLSUr</v>
      </c>
      <c r="W102">
        <v>5</v>
      </c>
      <c r="X102" s="17">
        <f>(Table13[[#This Row],[Supported_by_x_reads]]/Table13[[#This Row],[Cutadapt_Metrics_Total_Reads]])*100</f>
        <v>45.454545454545453</v>
      </c>
      <c r="Y102" t="s">
        <v>370</v>
      </c>
      <c r="Z102">
        <f>LEN(Table13[[#This Row],[Sequence]])</f>
        <v>3487</v>
      </c>
      <c r="AA102" t="s">
        <v>366</v>
      </c>
      <c r="AB102" t="s">
        <v>365</v>
      </c>
      <c r="AC102">
        <v>64</v>
      </c>
      <c r="AD102">
        <v>99.1</v>
      </c>
      <c r="AE102" s="1" t="s">
        <v>47</v>
      </c>
      <c r="AF102" s="1" t="s">
        <v>54</v>
      </c>
      <c r="AG102" t="s">
        <v>32</v>
      </c>
      <c r="AH102" t="s">
        <v>31</v>
      </c>
    </row>
    <row r="103" spans="1:36" ht="14.5" x14ac:dyDescent="0.35">
      <c r="A103" s="21">
        <v>2</v>
      </c>
      <c r="B103" s="15">
        <v>44715</v>
      </c>
      <c r="C103">
        <v>4</v>
      </c>
      <c r="D103" t="str">
        <f>Table13[[#This Row],[Nanopore_Run]] &amp; "_" &amp; Table13[[#This Row],[Barcode_ID]]</f>
        <v>2_4</v>
      </c>
      <c r="E103">
        <v>40</v>
      </c>
      <c r="F103">
        <f>IF(COUNTIF($D$8:D103, D103)=1, Table13[[#This Row],[Reads count]], 0)</f>
        <v>0</v>
      </c>
      <c r="G103" s="16">
        <v>84.906255000000016</v>
      </c>
      <c r="H103" s="1" t="s">
        <v>50</v>
      </c>
      <c r="I103" s="1" t="s">
        <v>51</v>
      </c>
      <c r="J103" s="1" t="s">
        <v>48</v>
      </c>
      <c r="K103" t="str">
        <f t="shared" si="3"/>
        <v>2_4_KinetRC / iLSUr</v>
      </c>
      <c r="L103">
        <v>1</v>
      </c>
      <c r="M103" s="1" t="s">
        <v>26</v>
      </c>
      <c r="N103" t="s">
        <v>49</v>
      </c>
      <c r="O103" t="s">
        <v>28</v>
      </c>
      <c r="P103" s="14">
        <v>2000</v>
      </c>
      <c r="Q103" s="1" t="s">
        <v>257</v>
      </c>
      <c r="R103">
        <v>0</v>
      </c>
      <c r="S103">
        <f>IF(COUNTIF($K$8:K103, K103)=1, Table13[[#This Row],[Cutadapt_Metrics_Total_Reads]], 0)</f>
        <v>0</v>
      </c>
      <c r="T103" s="2">
        <f>(Table13[[#This Row],[Cutadapt_Metrics_Total_Reads]]/Table13[[#This Row],[Reads count]])*100</f>
        <v>0</v>
      </c>
      <c r="U103" s="14" t="s">
        <v>31</v>
      </c>
      <c r="V103" s="14" t="s">
        <v>31</v>
      </c>
      <c r="W103" s="14" t="s">
        <v>31</v>
      </c>
      <c r="X103" s="14" t="s">
        <v>31</v>
      </c>
      <c r="Y103" s="14" t="s">
        <v>31</v>
      </c>
      <c r="Z103" s="14" t="s">
        <v>31</v>
      </c>
      <c r="AA103" s="1" t="s">
        <v>31</v>
      </c>
      <c r="AB103" s="1" t="s">
        <v>31</v>
      </c>
      <c r="AC103" s="1" t="s">
        <v>31</v>
      </c>
      <c r="AD103" s="1" t="s">
        <v>31</v>
      </c>
      <c r="AE103" s="1" t="s">
        <v>31</v>
      </c>
      <c r="AF103" s="1" t="s">
        <v>31</v>
      </c>
      <c r="AG103" s="1" t="s">
        <v>31</v>
      </c>
      <c r="AH103" s="1" t="s">
        <v>31</v>
      </c>
      <c r="AI103" s="14"/>
      <c r="AJ103" s="14"/>
    </row>
    <row r="104" spans="1:36" ht="14.5" x14ac:dyDescent="0.35">
      <c r="A104" s="21">
        <v>2</v>
      </c>
      <c r="B104" s="15">
        <v>44715</v>
      </c>
      <c r="C104">
        <v>5</v>
      </c>
      <c r="D104" t="str">
        <f>Table13[[#This Row],[Nanopore_Run]] &amp; "_" &amp; Table13[[#This Row],[Barcode_ID]]</f>
        <v>2_5</v>
      </c>
      <c r="E104">
        <v>15</v>
      </c>
      <c r="F104">
        <f>IF(COUNTIF($D$8:D104, D104)=1, Table13[[#This Row],[Reads count]], 0)</f>
        <v>15</v>
      </c>
      <c r="G104" s="16">
        <v>82.527773333333329</v>
      </c>
      <c r="H104" s="1">
        <v>31</v>
      </c>
      <c r="I104" s="1" t="s">
        <v>34</v>
      </c>
      <c r="J104" s="1" t="s">
        <v>35</v>
      </c>
      <c r="K104" t="str">
        <f t="shared" si="3"/>
        <v>2_5_AmRC / iLSUr</v>
      </c>
      <c r="L104">
        <v>1</v>
      </c>
      <c r="M104" s="1" t="s">
        <v>26</v>
      </c>
      <c r="N104" t="s">
        <v>36</v>
      </c>
      <c r="O104" t="s">
        <v>28</v>
      </c>
      <c r="P104" s="14">
        <v>4200</v>
      </c>
      <c r="Q104" s="1" t="s">
        <v>37</v>
      </c>
      <c r="R104">
        <v>0</v>
      </c>
      <c r="S104">
        <f>IF(COUNTIF($K$8:K104, K104)=1, Table13[[#This Row],[Cutadapt_Metrics_Total_Reads]], 0)</f>
        <v>0</v>
      </c>
      <c r="T104" s="2">
        <f>(Table13[[#This Row],[Cutadapt_Metrics_Total_Reads]]/Table13[[#This Row],[Reads count]])*100</f>
        <v>0</v>
      </c>
      <c r="U104" s="14" t="s">
        <v>31</v>
      </c>
      <c r="V104" s="14" t="s">
        <v>31</v>
      </c>
      <c r="W104" s="14" t="s">
        <v>31</v>
      </c>
      <c r="X104" s="14" t="s">
        <v>31</v>
      </c>
      <c r="Y104" s="14" t="s">
        <v>31</v>
      </c>
      <c r="Z104" s="14" t="s">
        <v>31</v>
      </c>
      <c r="AA104" s="1" t="s">
        <v>31</v>
      </c>
      <c r="AB104" s="1" t="s">
        <v>31</v>
      </c>
      <c r="AC104" s="1" t="s">
        <v>31</v>
      </c>
      <c r="AD104" s="1" t="s">
        <v>31</v>
      </c>
      <c r="AE104" s="1" t="s">
        <v>31</v>
      </c>
      <c r="AF104" s="1" t="s">
        <v>31</v>
      </c>
      <c r="AG104" s="1" t="s">
        <v>31</v>
      </c>
      <c r="AH104" s="1" t="s">
        <v>31</v>
      </c>
      <c r="AI104" s="14"/>
      <c r="AJ104" s="14"/>
    </row>
    <row r="105" spans="1:36" ht="14.5" x14ac:dyDescent="0.35">
      <c r="A105" s="14">
        <v>3</v>
      </c>
      <c r="B105" s="15">
        <v>45063</v>
      </c>
      <c r="C105">
        <v>1</v>
      </c>
      <c r="D105" t="str">
        <f>Table13[[#This Row],[Nanopore_Run]] &amp; "_" &amp; Table13[[#This Row],[Barcode_ID]]</f>
        <v>3_1</v>
      </c>
      <c r="E105" s="14">
        <v>250834</v>
      </c>
      <c r="F105">
        <f>IF(COUNTIF($D$8:D105, D105)=1, Table13[[#This Row],[Reads count]], 0)</f>
        <v>250834</v>
      </c>
      <c r="G105" s="16">
        <v>94.3964</v>
      </c>
      <c r="H105" t="s">
        <v>217</v>
      </c>
      <c r="I105" t="s">
        <v>218</v>
      </c>
      <c r="J105" t="s">
        <v>56</v>
      </c>
      <c r="K105" t="str">
        <f t="shared" si="3"/>
        <v>3_1_UnonMet</v>
      </c>
      <c r="L105">
        <v>3</v>
      </c>
      <c r="M105" t="s">
        <v>259</v>
      </c>
      <c r="N105" t="s">
        <v>57</v>
      </c>
      <c r="O105" t="s">
        <v>58</v>
      </c>
      <c r="P105" s="14">
        <v>572</v>
      </c>
      <c r="Q105" s="1" t="s">
        <v>268</v>
      </c>
      <c r="R105">
        <v>1214</v>
      </c>
      <c r="S105">
        <f>IF(COUNTIF($K$8:K105, K105)=1, Table13[[#This Row],[Cutadapt_Metrics_Total_Reads]], 0)</f>
        <v>1214</v>
      </c>
      <c r="T105" s="2">
        <f>(Table13[[#This Row],[Cutadapt_Metrics_Total_Reads]]/Table13[[#This Row],[Reads count]])*100</f>
        <v>0.48398542462345617</v>
      </c>
      <c r="U105" t="s">
        <v>219</v>
      </c>
      <c r="V105" t="str">
        <f>Table13[[#This Row],[Amplicon_consensus]] &amp; "_Run" &amp; A105 &amp; "_Barcode" &amp; C105 &amp; "_" &amp; Table13[[#This Row],[Host]] &amp; "_" &amp; Table13[[#This Row],[Primers]]</f>
        <v>&gt;consensus_cl_id_3_total_supporting_reads_130_Run3_Barcode1_Acheta domesticus gregarine_UnonMet</v>
      </c>
      <c r="W105">
        <v>130</v>
      </c>
      <c r="X105" s="17">
        <f>(Table13[[#This Row],[Supported_by_x_reads]]/Table13[[#This Row],[Cutadapt_Metrics_Total_Reads]])*100</f>
        <v>10.70840197693575</v>
      </c>
      <c r="Y105" t="s">
        <v>220</v>
      </c>
      <c r="Z105">
        <f>LEN(Table13[[#This Row],[Sequence]])</f>
        <v>650</v>
      </c>
      <c r="AA105" t="s">
        <v>279</v>
      </c>
      <c r="AB105" t="s">
        <v>280</v>
      </c>
      <c r="AC105">
        <v>83</v>
      </c>
      <c r="AD105">
        <v>99.6</v>
      </c>
      <c r="AE105" t="s">
        <v>47</v>
      </c>
      <c r="AF105" t="s">
        <v>32</v>
      </c>
      <c r="AG105" t="s">
        <v>32</v>
      </c>
      <c r="AH105" s="28" t="s">
        <v>221</v>
      </c>
      <c r="AI105">
        <f>LEN(Table13[[#This Row],[Correct_seq_if_RC]])</f>
        <v>650</v>
      </c>
      <c r="AJ105" t="str">
        <f>IF(Table13[[#This Row],[Column1]]=Table13[[#This Row],[Sequence_length]],"yes","no")</f>
        <v>yes</v>
      </c>
    </row>
    <row r="106" spans="1:36" ht="14" customHeight="1" x14ac:dyDescent="0.35">
      <c r="A106" s="14">
        <v>3</v>
      </c>
      <c r="B106" s="15">
        <v>45063</v>
      </c>
      <c r="C106">
        <v>1</v>
      </c>
      <c r="D106" t="str">
        <f>Table13[[#This Row],[Nanopore_Run]] &amp; "_" &amp; Table13[[#This Row],[Barcode_ID]]</f>
        <v>3_1</v>
      </c>
      <c r="E106" s="14">
        <v>250834</v>
      </c>
      <c r="F106">
        <f>IF(COUNTIF($D$8:D106, D106)=1, Table13[[#This Row],[Reads count]], 0)</f>
        <v>0</v>
      </c>
      <c r="G106" s="16">
        <v>94.3964</v>
      </c>
      <c r="H106" t="s">
        <v>217</v>
      </c>
      <c r="I106" t="s">
        <v>218</v>
      </c>
      <c r="J106" t="s">
        <v>56</v>
      </c>
      <c r="K106" t="str">
        <f t="shared" si="3"/>
        <v>3_1_UnonMet</v>
      </c>
      <c r="L106">
        <v>3</v>
      </c>
      <c r="M106" t="s">
        <v>259</v>
      </c>
      <c r="N106" t="s">
        <v>57</v>
      </c>
      <c r="O106" t="s">
        <v>58</v>
      </c>
      <c r="P106" s="14">
        <v>572</v>
      </c>
      <c r="Q106" s="1" t="s">
        <v>268</v>
      </c>
      <c r="R106">
        <v>1214</v>
      </c>
      <c r="S106">
        <f>IF(COUNTIF($K$8:K106, K106)=1, Table13[[#This Row],[Cutadapt_Metrics_Total_Reads]], 0)</f>
        <v>0</v>
      </c>
      <c r="T106" s="2">
        <f>(Table13[[#This Row],[Cutadapt_Metrics_Total_Reads]]/Table13[[#This Row],[Reads count]])*100</f>
        <v>0.48398542462345617</v>
      </c>
      <c r="U106" t="s">
        <v>281</v>
      </c>
      <c r="V106" t="str">
        <f>Table13[[#This Row],[Amplicon_consensus]] &amp; "_Run" &amp; A106 &amp; "_Barcode" &amp; C106 &amp; "_" &amp; Table13[[#This Row],[Host]] &amp; "_" &amp; Table13[[#This Row],[Primers]]</f>
        <v>&gt;consensus_cl_id_51_total_supporting_reads_73_Run3_Barcode1_Acheta domesticus gregarine_UnonMet</v>
      </c>
      <c r="W106">
        <v>73</v>
      </c>
      <c r="X106" s="17">
        <f>(Table13[[#This Row],[Supported_by_x_reads]]/Table13[[#This Row],[Cutadapt_Metrics_Total_Reads]])*100</f>
        <v>6.0131795716639207</v>
      </c>
      <c r="Y106" t="s">
        <v>282</v>
      </c>
      <c r="Z106">
        <f>LEN(Table13[[#This Row],[Sequence]])</f>
        <v>608</v>
      </c>
      <c r="AA106" s="18" t="s">
        <v>283</v>
      </c>
      <c r="AB106" t="s">
        <v>285</v>
      </c>
      <c r="AC106">
        <v>91</v>
      </c>
      <c r="AD106">
        <v>98.9</v>
      </c>
      <c r="AE106" t="s">
        <v>284</v>
      </c>
      <c r="AF106" t="s">
        <v>54</v>
      </c>
      <c r="AG106" t="s">
        <v>31</v>
      </c>
      <c r="AH106" t="s">
        <v>31</v>
      </c>
    </row>
    <row r="107" spans="1:36" ht="14.5" x14ac:dyDescent="0.35">
      <c r="A107" s="14">
        <v>3</v>
      </c>
      <c r="B107" s="15">
        <v>45063</v>
      </c>
      <c r="C107">
        <v>1</v>
      </c>
      <c r="D107" t="str">
        <f>Table13[[#This Row],[Nanopore_Run]] &amp; "_" &amp; Table13[[#This Row],[Barcode_ID]]</f>
        <v>3_1</v>
      </c>
      <c r="E107" s="14">
        <v>250834</v>
      </c>
      <c r="F107">
        <f>IF(COUNTIF($D$8:D107, D107)=1, Table13[[#This Row],[Reads count]], 0)</f>
        <v>0</v>
      </c>
      <c r="G107" s="16">
        <v>94.3964</v>
      </c>
      <c r="H107" t="s">
        <v>217</v>
      </c>
      <c r="I107" t="s">
        <v>218</v>
      </c>
      <c r="J107" t="s">
        <v>56</v>
      </c>
      <c r="K107" t="str">
        <f t="shared" si="3"/>
        <v>3_1_UnonMet</v>
      </c>
      <c r="L107">
        <v>3</v>
      </c>
      <c r="M107" t="s">
        <v>259</v>
      </c>
      <c r="N107" t="s">
        <v>57</v>
      </c>
      <c r="O107" t="s">
        <v>58</v>
      </c>
      <c r="P107" s="14">
        <v>572</v>
      </c>
      <c r="Q107" s="1" t="s">
        <v>268</v>
      </c>
      <c r="R107">
        <v>1214</v>
      </c>
      <c r="S107">
        <f>IF(COUNTIF($K$8:K107, K107)=1, Table13[[#This Row],[Cutadapt_Metrics_Total_Reads]], 0)</f>
        <v>0</v>
      </c>
      <c r="T107" s="2">
        <f>(Table13[[#This Row],[Cutadapt_Metrics_Total_Reads]]/Table13[[#This Row],[Reads count]])*100</f>
        <v>0.48398542462345617</v>
      </c>
      <c r="U107" t="s">
        <v>286</v>
      </c>
      <c r="V107" t="str">
        <f>Table13[[#This Row],[Amplicon_consensus]] &amp; "_Run" &amp; A107 &amp; "_Barcode" &amp; C107 &amp; "_" &amp; Table13[[#This Row],[Host]] &amp; "_" &amp; Table13[[#This Row],[Primers]]</f>
        <v>consensus_cl_id_5_total_supporting_reads_77_Run3_Barcode1_Acheta domesticus gregarine_UnonMet</v>
      </c>
      <c r="W107">
        <v>77</v>
      </c>
      <c r="X107" s="17">
        <f>(Table13[[#This Row],[Supported_by_x_reads]]/Table13[[#This Row],[Cutadapt_Metrics_Total_Reads]])*100</f>
        <v>6.3426688632619435</v>
      </c>
      <c r="Y107" t="s">
        <v>220</v>
      </c>
      <c r="Z107">
        <f>LEN(Table13[[#This Row],[Sequence]])</f>
        <v>650</v>
      </c>
      <c r="AA107" t="s">
        <v>287</v>
      </c>
      <c r="AB107" t="s">
        <v>288</v>
      </c>
      <c r="AC107">
        <v>89</v>
      </c>
      <c r="AD107">
        <v>99.5</v>
      </c>
      <c r="AE107" t="s">
        <v>67</v>
      </c>
      <c r="AF107" t="s">
        <v>54</v>
      </c>
      <c r="AG107" t="s">
        <v>31</v>
      </c>
      <c r="AH107" t="s">
        <v>31</v>
      </c>
    </row>
    <row r="108" spans="1:36" ht="14.5" x14ac:dyDescent="0.35">
      <c r="A108" s="14">
        <v>3</v>
      </c>
      <c r="B108" s="15">
        <v>45063</v>
      </c>
      <c r="C108">
        <v>1</v>
      </c>
      <c r="D108" t="str">
        <f>Table13[[#This Row],[Nanopore_Run]] &amp; "_" &amp; Table13[[#This Row],[Barcode_ID]]</f>
        <v>3_1</v>
      </c>
      <c r="E108" s="14">
        <v>250834</v>
      </c>
      <c r="F108">
        <f>IF(COUNTIF($D$8:D108, D108)=1, Table13[[#This Row],[Reads count]], 0)</f>
        <v>0</v>
      </c>
      <c r="G108" s="16">
        <v>94.3964</v>
      </c>
      <c r="H108" t="s">
        <v>222</v>
      </c>
      <c r="I108" t="s">
        <v>218</v>
      </c>
      <c r="J108" t="s">
        <v>93</v>
      </c>
      <c r="K108" t="str">
        <f t="shared" si="3"/>
        <v>3_1_GregF / GregR</v>
      </c>
      <c r="L108">
        <v>2</v>
      </c>
      <c r="M108" t="s">
        <v>259</v>
      </c>
      <c r="N108" s="19" t="s">
        <v>94</v>
      </c>
      <c r="O108" t="s">
        <v>95</v>
      </c>
      <c r="P108" s="14">
        <v>300</v>
      </c>
      <c r="Q108" s="1" t="s">
        <v>47</v>
      </c>
      <c r="R108">
        <v>1806</v>
      </c>
      <c r="S108">
        <f>IF(COUNTIF($K$8:K108, K108)=1, Table13[[#This Row],[Cutadapt_Metrics_Total_Reads]], 0)</f>
        <v>1806</v>
      </c>
      <c r="T108" s="2">
        <f>(Table13[[#This Row],[Cutadapt_Metrics_Total_Reads]]/Table13[[#This Row],[Reads count]])*100</f>
        <v>0.71999808638382357</v>
      </c>
      <c r="U108" t="s">
        <v>223</v>
      </c>
      <c r="V108" t="str">
        <f>Table13[[#This Row],[Amplicon_consensus]] &amp; "_Run" &amp; A108 &amp; "_Barcode" &amp; C108 &amp; "_" &amp; Table13[[#This Row],[Host]] &amp; "_" &amp; Table13[[#This Row],[Primers]]</f>
        <v xml:space="preserve">&gt;consensus_cl_id_10_total_supporting_reads_235_Run3_Barcode1_Acheta domesticus gregarine_GregF / GregR </v>
      </c>
      <c r="W108">
        <v>235</v>
      </c>
      <c r="X108" s="17">
        <f>(Table13[[#This Row],[Supported_by_x_reads]]/Table13[[#This Row],[Cutadapt_Metrics_Total_Reads]])*100</f>
        <v>13.01218161683278</v>
      </c>
      <c r="Y108" t="s">
        <v>224</v>
      </c>
      <c r="Z108">
        <f>LEN(Table13[[#This Row],[Sequence]])</f>
        <v>367</v>
      </c>
      <c r="AA108" t="s">
        <v>266</v>
      </c>
      <c r="AB108" t="s">
        <v>290</v>
      </c>
      <c r="AC108">
        <v>86</v>
      </c>
      <c r="AD108">
        <v>99.7</v>
      </c>
      <c r="AE108" t="s">
        <v>47</v>
      </c>
      <c r="AF108" t="s">
        <v>32</v>
      </c>
      <c r="AG108" t="s">
        <v>32</v>
      </c>
      <c r="AH108" t="s">
        <v>225</v>
      </c>
      <c r="AI108">
        <f>LEN(Table13[[#This Row],[Correct_seq_if_RC]])</f>
        <v>367</v>
      </c>
      <c r="AJ108" t="str">
        <f>IF(Table13[[#This Row],[Column1]]=Table13[[#This Row],[Sequence_length]],"yes","no")</f>
        <v>yes</v>
      </c>
    </row>
    <row r="109" spans="1:36" ht="14.5" x14ac:dyDescent="0.35">
      <c r="A109" s="14">
        <v>3</v>
      </c>
      <c r="B109" s="15">
        <v>45063</v>
      </c>
      <c r="C109">
        <v>1</v>
      </c>
      <c r="D109" t="str">
        <f>Table13[[#This Row],[Nanopore_Run]] &amp; "_" &amp; Table13[[#This Row],[Barcode_ID]]</f>
        <v>3_1</v>
      </c>
      <c r="E109" s="14">
        <v>250834</v>
      </c>
      <c r="F109">
        <f>IF(COUNTIF($D$8:D109, D109)=1, Table13[[#This Row],[Reads count]], 0)</f>
        <v>0</v>
      </c>
      <c r="G109" s="16">
        <v>94.3964</v>
      </c>
      <c r="H109" t="s">
        <v>222</v>
      </c>
      <c r="I109" t="s">
        <v>218</v>
      </c>
      <c r="J109" t="s">
        <v>93</v>
      </c>
      <c r="K109" t="str">
        <f t="shared" si="3"/>
        <v>3_1_GregF / GregR</v>
      </c>
      <c r="L109">
        <v>2</v>
      </c>
      <c r="M109" t="s">
        <v>259</v>
      </c>
      <c r="N109" s="19" t="s">
        <v>94</v>
      </c>
      <c r="O109" t="s">
        <v>95</v>
      </c>
      <c r="P109" s="14">
        <v>300</v>
      </c>
      <c r="Q109" s="1" t="s">
        <v>47</v>
      </c>
      <c r="R109">
        <v>1806</v>
      </c>
      <c r="S109">
        <f>IF(COUNTIF($K$8:K109, K109)=1, Table13[[#This Row],[Cutadapt_Metrics_Total_Reads]], 0)</f>
        <v>0</v>
      </c>
      <c r="T109" s="2">
        <f>(Table13[[#This Row],[Cutadapt_Metrics_Total_Reads]]/Table13[[#This Row],[Reads count]])*100</f>
        <v>0.71999808638382357</v>
      </c>
      <c r="U109" t="s">
        <v>296</v>
      </c>
      <c r="V109" t="str">
        <f>Table13[[#This Row],[Amplicon_consensus]] &amp; "_Run" &amp; A109 &amp; "_Barcode" &amp; C109 &amp; "_" &amp; Table13[[#This Row],[Host]] &amp; "_" &amp; Table13[[#This Row],[Primers]]</f>
        <v xml:space="preserve">&gt;consensus_cl_id_7_total_supporting_reads_30_Run3_Barcode1_Acheta domesticus gregarine_GregF / GregR </v>
      </c>
      <c r="W109">
        <v>30</v>
      </c>
      <c r="X109" s="17">
        <f>(Table13[[#This Row],[Supported_by_x_reads]]/Table13[[#This Row],[Cutadapt_Metrics_Total_Reads]])*100</f>
        <v>1.6611295681063125</v>
      </c>
      <c r="Y109" t="s">
        <v>297</v>
      </c>
      <c r="Z109">
        <f>LEN(Table13[[#This Row],[Sequence]])</f>
        <v>356</v>
      </c>
      <c r="AA109" t="s">
        <v>291</v>
      </c>
      <c r="AB109" t="s">
        <v>295</v>
      </c>
      <c r="AC109">
        <v>15</v>
      </c>
      <c r="AD109">
        <v>100</v>
      </c>
      <c r="AE109" t="s">
        <v>109</v>
      </c>
      <c r="AF109" t="s">
        <v>54</v>
      </c>
      <c r="AG109" t="s">
        <v>31</v>
      </c>
      <c r="AH109" t="s">
        <v>31</v>
      </c>
    </row>
    <row r="110" spans="1:36" ht="14.5" x14ac:dyDescent="0.35">
      <c r="A110" s="14">
        <v>3</v>
      </c>
      <c r="B110" s="15">
        <v>45063</v>
      </c>
      <c r="C110">
        <v>1</v>
      </c>
      <c r="D110" t="str">
        <f>Table13[[#This Row],[Nanopore_Run]] &amp; "_" &amp; Table13[[#This Row],[Barcode_ID]]</f>
        <v>3_1</v>
      </c>
      <c r="E110" s="14">
        <v>250834</v>
      </c>
      <c r="F110">
        <f>IF(COUNTIF($D$8:D110, D110)=1, Table13[[#This Row],[Reads count]], 0)</f>
        <v>0</v>
      </c>
      <c r="G110" s="16">
        <v>94.3964</v>
      </c>
      <c r="H110" t="s">
        <v>226</v>
      </c>
      <c r="I110" t="s">
        <v>218</v>
      </c>
      <c r="J110" t="s">
        <v>269</v>
      </c>
      <c r="K110" t="str">
        <f t="shared" si="3"/>
        <v>3_1_1-18S-GRF/1222-18S-GRR</v>
      </c>
      <c r="L110">
        <v>1</v>
      </c>
      <c r="M110" t="s">
        <v>259</v>
      </c>
      <c r="N110" t="s">
        <v>170</v>
      </c>
      <c r="O110" t="s">
        <v>171</v>
      </c>
      <c r="P110" s="14">
        <v>950</v>
      </c>
      <c r="Q110" s="1" t="s">
        <v>47</v>
      </c>
      <c r="R110" s="14">
        <v>11234</v>
      </c>
      <c r="S110">
        <f>IF(COUNTIF($K$8:K110, K110)=1, Table13[[#This Row],[Cutadapt_Metrics_Total_Reads]], 0)</f>
        <v>11234</v>
      </c>
      <c r="T110" s="2">
        <f>(Table13[[#This Row],[Cutadapt_Metrics_Total_Reads]]/Table13[[#This Row],[Reads count]])*100</f>
        <v>4.478659192932378</v>
      </c>
      <c r="U110" t="s">
        <v>227</v>
      </c>
      <c r="V110" t="str">
        <f>Table13[[#This Row],[Amplicon_consensus]] &amp; "_Run" &amp; A110 &amp; "_Barcode" &amp; C110 &amp; "_" &amp; Table13[[#This Row],[Host]] &amp; "_" &amp; Table13[[#This Row],[Primers]]</f>
        <v>&gt;consensus_cl_id_35_total_supporting_reads_275_Run3_Barcode1_Acheta domesticus gregarine_1-18S-GRF/1222-18S-GRR</v>
      </c>
      <c r="W110">
        <v>275</v>
      </c>
      <c r="X110" s="17">
        <f>(Table13[[#This Row],[Supported_by_x_reads]]/Table13[[#This Row],[Cutadapt_Metrics_Total_Reads]])*100</f>
        <v>2.4479259391134058</v>
      </c>
      <c r="Y110" t="s">
        <v>228</v>
      </c>
      <c r="Z110">
        <f>LEN(Table13[[#This Row],[Sequence]])</f>
        <v>1106</v>
      </c>
      <c r="AA110" t="s">
        <v>229</v>
      </c>
      <c r="AB110" t="s">
        <v>299</v>
      </c>
      <c r="AC110">
        <v>91</v>
      </c>
      <c r="AD110">
        <v>98.4</v>
      </c>
      <c r="AE110" t="s">
        <v>67</v>
      </c>
      <c r="AF110" t="s">
        <v>54</v>
      </c>
      <c r="AG110" t="s">
        <v>31</v>
      </c>
      <c r="AH110" t="s">
        <v>31</v>
      </c>
    </row>
    <row r="111" spans="1:36" ht="14.5" x14ac:dyDescent="0.35">
      <c r="A111" s="14">
        <v>3</v>
      </c>
      <c r="B111" s="15">
        <v>45063</v>
      </c>
      <c r="C111">
        <v>1</v>
      </c>
      <c r="D111" t="str">
        <f>Table13[[#This Row],[Nanopore_Run]] &amp; "_" &amp; Table13[[#This Row],[Barcode_ID]]</f>
        <v>3_1</v>
      </c>
      <c r="E111" s="14">
        <v>250834</v>
      </c>
      <c r="F111">
        <f>IF(COUNTIF($D$8:D111, D111)=1, Table13[[#This Row],[Reads count]], 0)</f>
        <v>0</v>
      </c>
      <c r="G111" s="16">
        <v>94.3964</v>
      </c>
      <c r="H111" t="s">
        <v>230</v>
      </c>
      <c r="I111" t="s">
        <v>218</v>
      </c>
      <c r="J111" t="s">
        <v>187</v>
      </c>
      <c r="K111" t="str">
        <f t="shared" si="3"/>
        <v>3_1_WL1 / EukP3</v>
      </c>
      <c r="L111">
        <v>1</v>
      </c>
      <c r="M111" t="s">
        <v>259</v>
      </c>
      <c r="N111" t="s">
        <v>188</v>
      </c>
      <c r="O111" t="s">
        <v>189</v>
      </c>
      <c r="P111" s="14">
        <v>1630</v>
      </c>
      <c r="Q111" s="1" t="s">
        <v>47</v>
      </c>
      <c r="R111">
        <v>280</v>
      </c>
      <c r="S111">
        <f>IF(COUNTIF($K$8:K111, K111)=1, Table13[[#This Row],[Cutadapt_Metrics_Total_Reads]], 0)</f>
        <v>280</v>
      </c>
      <c r="T111" s="2">
        <f>(Table13[[#This Row],[Cutadapt_Metrics_Total_Reads]]/Table13[[#This Row],[Reads count]])*100</f>
        <v>0.11162761029206567</v>
      </c>
      <c r="U111" t="s">
        <v>231</v>
      </c>
      <c r="V111" t="str">
        <f>Table13[[#This Row],[Amplicon_consensus]] &amp; "_Run" &amp; A111 &amp; "_Barcode" &amp; C111 &amp; "_" &amp; Table13[[#This Row],[Host]] &amp; "_" &amp; Table13[[#This Row],[Primers]]</f>
        <v>&gt;consensus_cl_id_0_total_supporting_reads_279_Run3_Barcode1_Acheta domesticus gregarine_WL1 / EukP3</v>
      </c>
      <c r="W111">
        <v>279</v>
      </c>
      <c r="X111" s="17">
        <f>(Table13[[#This Row],[Supported_by_x_reads]]/Table13[[#This Row],[Cutadapt_Metrics_Total_Reads]])*100</f>
        <v>99.642857142857139</v>
      </c>
      <c r="Y111" t="s">
        <v>232</v>
      </c>
      <c r="Z111">
        <f>LEN(Table13[[#This Row],[Sequence]])</f>
        <v>1680</v>
      </c>
      <c r="AA111" t="s">
        <v>266</v>
      </c>
      <c r="AB111" t="s">
        <v>290</v>
      </c>
      <c r="AC111">
        <v>95</v>
      </c>
      <c r="AD111">
        <v>99.9</v>
      </c>
      <c r="AE111" t="s">
        <v>47</v>
      </c>
      <c r="AF111" t="s">
        <v>32</v>
      </c>
      <c r="AG111" t="s">
        <v>32</v>
      </c>
      <c r="AH111" t="s">
        <v>233</v>
      </c>
      <c r="AI111">
        <f>LEN(Table13[[#This Row],[Correct_seq_if_RC]])</f>
        <v>1680</v>
      </c>
      <c r="AJ111" t="str">
        <f>IF(Table13[[#This Row],[Column1]]=Table13[[#This Row],[Sequence_length]],"yes","no")</f>
        <v>yes</v>
      </c>
    </row>
    <row r="112" spans="1:36" ht="14.5" x14ac:dyDescent="0.35">
      <c r="A112" s="14">
        <v>3</v>
      </c>
      <c r="B112" s="15">
        <v>45063</v>
      </c>
      <c r="C112">
        <v>2</v>
      </c>
      <c r="D112" t="str">
        <f>Table13[[#This Row],[Nanopore_Run]] &amp; "_" &amp; Table13[[#This Row],[Barcode_ID]]</f>
        <v>3_2</v>
      </c>
      <c r="E112" s="14">
        <v>127554</v>
      </c>
      <c r="F112">
        <f>IF(COUNTIF($D$8:D112, D112)=1, Table13[[#This Row],[Reads count]], 0)</f>
        <v>127554</v>
      </c>
      <c r="G112" s="16">
        <v>93.227500000000006</v>
      </c>
      <c r="H112" t="s">
        <v>185</v>
      </c>
      <c r="I112" t="s">
        <v>186</v>
      </c>
      <c r="J112" t="s">
        <v>187</v>
      </c>
      <c r="K112" t="str">
        <f t="shared" si="3"/>
        <v>3_2_WL1 / EukP3</v>
      </c>
      <c r="L112">
        <v>1</v>
      </c>
      <c r="M112" t="s">
        <v>259</v>
      </c>
      <c r="N112" t="s">
        <v>188</v>
      </c>
      <c r="O112" t="s">
        <v>189</v>
      </c>
      <c r="P112" s="14">
        <v>1630</v>
      </c>
      <c r="Q112" s="1" t="s">
        <v>47</v>
      </c>
      <c r="R112">
        <v>9</v>
      </c>
      <c r="S112">
        <f>IF(COUNTIF($K$8:K112, K112)=1, Table13[[#This Row],[Cutadapt_Metrics_Total_Reads]], 0)</f>
        <v>9</v>
      </c>
      <c r="T112" s="2">
        <f>(Table13[[#This Row],[Cutadapt_Metrics_Total_Reads]]/Table13[[#This Row],[Reads count]])*100</f>
        <v>7.0558351756902955E-3</v>
      </c>
      <c r="U112" t="s">
        <v>146</v>
      </c>
      <c r="V112" t="s">
        <v>31</v>
      </c>
      <c r="W112">
        <v>3</v>
      </c>
      <c r="X112" s="17">
        <f>(Table13[[#This Row],[Supported_by_x_reads]]/Table13[[#This Row],[Cutadapt_Metrics_Total_Reads]])*100</f>
        <v>33.333333333333329</v>
      </c>
      <c r="Y112" t="s">
        <v>190</v>
      </c>
      <c r="Z112">
        <f>LEN(Table13[[#This Row],[Sequence]])</f>
        <v>1686</v>
      </c>
      <c r="AA112" t="s">
        <v>317</v>
      </c>
      <c r="AB112" t="s">
        <v>318</v>
      </c>
      <c r="AC112">
        <v>99</v>
      </c>
      <c r="AD112">
        <v>93.2</v>
      </c>
      <c r="AE112" t="s">
        <v>319</v>
      </c>
      <c r="AF112" t="s">
        <v>54</v>
      </c>
      <c r="AG112" t="s">
        <v>31</v>
      </c>
      <c r="AH112" t="s">
        <v>31</v>
      </c>
    </row>
    <row r="113" spans="1:36" ht="14.5" x14ac:dyDescent="0.35">
      <c r="A113" s="14">
        <v>3</v>
      </c>
      <c r="B113" s="15">
        <v>45063</v>
      </c>
      <c r="C113">
        <v>2</v>
      </c>
      <c r="D113" t="str">
        <f>Table13[[#This Row],[Nanopore_Run]] &amp; "_" &amp; Table13[[#This Row],[Barcode_ID]]</f>
        <v>3_2</v>
      </c>
      <c r="E113" s="14">
        <v>127554</v>
      </c>
      <c r="F113">
        <f>IF(COUNTIF($D$8:D113, D113)=1, Table13[[#This Row],[Reads count]], 0)</f>
        <v>0</v>
      </c>
      <c r="G113" s="16">
        <v>93.227500000000006</v>
      </c>
      <c r="H113" t="s">
        <v>191</v>
      </c>
      <c r="I113" t="s">
        <v>186</v>
      </c>
      <c r="J113" t="s">
        <v>93</v>
      </c>
      <c r="K113" t="str">
        <f t="shared" si="3"/>
        <v>3_2_GregF / GregR</v>
      </c>
      <c r="L113">
        <v>1</v>
      </c>
      <c r="M113" t="s">
        <v>259</v>
      </c>
      <c r="N113" s="19" t="s">
        <v>94</v>
      </c>
      <c r="O113" t="s">
        <v>95</v>
      </c>
      <c r="P113" s="14">
        <v>300</v>
      </c>
      <c r="Q113" s="1" t="s">
        <v>47</v>
      </c>
      <c r="R113">
        <v>2932</v>
      </c>
      <c r="S113">
        <f>IF(COUNTIF($K$8:K113, K113)=1, Table13[[#This Row],[Cutadapt_Metrics_Total_Reads]], 0)</f>
        <v>2932</v>
      </c>
      <c r="T113" s="2">
        <f>(Table13[[#This Row],[Cutadapt_Metrics_Total_Reads]]/Table13[[#This Row],[Reads count]])*100</f>
        <v>2.2986343039026607</v>
      </c>
      <c r="U113" t="s">
        <v>192</v>
      </c>
      <c r="V113" t="str">
        <f>Table13[[#This Row],[Amplicon_consensus]] &amp; "_Run" &amp; A113 &amp; "_Barcode" &amp; C113 &amp; "_" &amp; Table13[[#This Row],[Host]] &amp; "_" &amp; Table13[[#This Row],[Primers]]</f>
        <v xml:space="preserve">&gt;consensus_cl_id_28_total_supporting_reads_195_Run3_Barcode2_Blaptica dubia_GregF / GregR </v>
      </c>
      <c r="W113">
        <v>195</v>
      </c>
      <c r="X113" s="17">
        <f>(Table13[[#This Row],[Supported_by_x_reads]]/Table13[[#This Row],[Cutadapt_Metrics_Total_Reads]])*100</f>
        <v>6.6507503410641196</v>
      </c>
      <c r="Y113" t="s">
        <v>193</v>
      </c>
      <c r="Z113">
        <f>LEN(Table13[[#This Row],[Sequence]])</f>
        <v>423</v>
      </c>
      <c r="AA113" t="s">
        <v>265</v>
      </c>
      <c r="AB113" t="s">
        <v>300</v>
      </c>
      <c r="AC113">
        <v>74</v>
      </c>
      <c r="AD113">
        <v>92.4</v>
      </c>
      <c r="AE113" t="s">
        <v>47</v>
      </c>
      <c r="AF113" t="s">
        <v>32</v>
      </c>
      <c r="AG113" t="s">
        <v>32</v>
      </c>
      <c r="AH113" t="s">
        <v>194</v>
      </c>
      <c r="AI113">
        <f>LEN(Table13[[#This Row],[Correct_seq_if_RC]])</f>
        <v>423</v>
      </c>
      <c r="AJ113" t="str">
        <f>IF(Table13[[#This Row],[Column1]]=Table13[[#This Row],[Sequence_length]],"yes","no")</f>
        <v>yes</v>
      </c>
    </row>
    <row r="114" spans="1:36" ht="14.5" x14ac:dyDescent="0.35">
      <c r="A114" s="14">
        <v>3</v>
      </c>
      <c r="B114" s="15">
        <v>45063</v>
      </c>
      <c r="C114">
        <v>3</v>
      </c>
      <c r="D114" t="str">
        <f>Table13[[#This Row],[Nanopore_Run]] &amp; "_" &amp; Table13[[#This Row],[Barcode_ID]]</f>
        <v>3_3</v>
      </c>
      <c r="E114" s="14">
        <v>329431</v>
      </c>
      <c r="F114">
        <f>IF(COUNTIF($D$8:D114, D114)=1, Table13[[#This Row],[Reads count]], 0)</f>
        <v>329431</v>
      </c>
      <c r="G114" s="16">
        <v>94.135599999999997</v>
      </c>
      <c r="H114" t="s">
        <v>234</v>
      </c>
      <c r="I114" t="s">
        <v>235</v>
      </c>
      <c r="J114" t="s">
        <v>93</v>
      </c>
      <c r="K114" t="str">
        <f t="shared" si="3"/>
        <v>3_3_GregF / GregR</v>
      </c>
      <c r="L114">
        <v>1</v>
      </c>
      <c r="M114" t="s">
        <v>259</v>
      </c>
      <c r="N114" s="19" t="s">
        <v>94</v>
      </c>
      <c r="O114" t="s">
        <v>95</v>
      </c>
      <c r="P114" s="14">
        <v>300</v>
      </c>
      <c r="Q114" s="1" t="s">
        <v>47</v>
      </c>
      <c r="R114">
        <v>8538</v>
      </c>
      <c r="S114">
        <f>IF(COUNTIF($K$8:K114, K114)=1, Table13[[#This Row],[Cutadapt_Metrics_Total_Reads]], 0)</f>
        <v>8538</v>
      </c>
      <c r="T114" s="2">
        <f>(Table13[[#This Row],[Cutadapt_Metrics_Total_Reads]]/Table13[[#This Row],[Reads count]])*100</f>
        <v>2.591741517950648</v>
      </c>
      <c r="U114" t="s">
        <v>236</v>
      </c>
      <c r="V114" t="str">
        <f>Table13[[#This Row],[Amplicon_consensus]] &amp; "_Run" &amp; A114 &amp; "_Barcode" &amp; C114 &amp; "_" &amp; Table13[[#This Row],[Host]] &amp; "_" &amp; Table13[[#This Row],[Primers]]</f>
        <v xml:space="preserve">&gt;consensus_cl_id_17_total_supporting_reads_290_Run3_Barcode3_Tenebrio molitor_GregF / GregR </v>
      </c>
      <c r="W114">
        <v>290</v>
      </c>
      <c r="X114" s="17">
        <f>(Table13[[#This Row],[Supported_by_x_reads]]/Table13[[#This Row],[Cutadapt_Metrics_Total_Reads]])*100</f>
        <v>3.3965799953150619</v>
      </c>
      <c r="Y114" t="s">
        <v>237</v>
      </c>
      <c r="Z114">
        <f>LEN(Table13[[#This Row],[Sequence]])</f>
        <v>350</v>
      </c>
      <c r="AA114" t="s">
        <v>264</v>
      </c>
      <c r="AB114" t="s">
        <v>301</v>
      </c>
      <c r="AC114">
        <v>83</v>
      </c>
      <c r="AD114">
        <v>98.28</v>
      </c>
      <c r="AE114" t="s">
        <v>47</v>
      </c>
      <c r="AF114" t="s">
        <v>32</v>
      </c>
      <c r="AG114" t="s">
        <v>32</v>
      </c>
      <c r="AH114" t="s">
        <v>238</v>
      </c>
      <c r="AI114">
        <f>LEN(Table13[[#This Row],[Correct_seq_if_RC]])</f>
        <v>350</v>
      </c>
      <c r="AJ114" t="str">
        <f>IF(Table13[[#This Row],[Column1]]=Table13[[#This Row],[Sequence_length]],"yes","no")</f>
        <v>yes</v>
      </c>
    </row>
    <row r="115" spans="1:36" ht="14.5" x14ac:dyDescent="0.35">
      <c r="A115" s="14">
        <v>3</v>
      </c>
      <c r="B115" s="15">
        <v>45063</v>
      </c>
      <c r="C115">
        <v>4</v>
      </c>
      <c r="D115" t="str">
        <f>Table13[[#This Row],[Nanopore_Run]] &amp; "_" &amp; Table13[[#This Row],[Barcode_ID]]</f>
        <v>3_4</v>
      </c>
      <c r="E115" s="14">
        <v>514883</v>
      </c>
      <c r="F115">
        <f>IF(COUNTIF($D$8:D115, D115)=1, Table13[[#This Row],[Reads count]], 0)</f>
        <v>514883</v>
      </c>
      <c r="G115" s="16">
        <v>93.538799999999995</v>
      </c>
      <c r="H115" t="s">
        <v>243</v>
      </c>
      <c r="I115" t="s">
        <v>244</v>
      </c>
      <c r="J115" t="s">
        <v>93</v>
      </c>
      <c r="K115" t="str">
        <f t="shared" si="3"/>
        <v>3_4_GregF / GregR</v>
      </c>
      <c r="L115">
        <v>1</v>
      </c>
      <c r="M115" t="s">
        <v>259</v>
      </c>
      <c r="N115" s="19" t="s">
        <v>94</v>
      </c>
      <c r="O115" t="s">
        <v>95</v>
      </c>
      <c r="P115" s="14">
        <v>300</v>
      </c>
      <c r="Q115" s="1" t="s">
        <v>47</v>
      </c>
      <c r="R115">
        <v>1797</v>
      </c>
      <c r="S115">
        <f>IF(COUNTIF($K$8:K115, K115)=1, Table13[[#This Row],[Cutadapt_Metrics_Total_Reads]], 0)</f>
        <v>1797</v>
      </c>
      <c r="T115" s="2">
        <f>(Table13[[#This Row],[Cutadapt_Metrics_Total_Reads]]/Table13[[#This Row],[Reads count]])*100</f>
        <v>0.34901132878731672</v>
      </c>
      <c r="U115" t="s">
        <v>245</v>
      </c>
      <c r="V115" t="str">
        <f>Table13[[#This Row],[Amplicon_consensus]] &amp; "_Run" &amp; A115 &amp; "_Barcode" &amp; C115 &amp; "_" &amp; Table13[[#This Row],[Host]] &amp; "_" &amp; Table13[[#This Row],[Primers]]</f>
        <v xml:space="preserve">&gt;consensus_cl_id_14_total_supporting_reads_284_Run3_Barcode4_Acheta domesticus_GregF / GregR </v>
      </c>
      <c r="W115">
        <v>284</v>
      </c>
      <c r="X115" s="17">
        <f>(Table13[[#This Row],[Supported_by_x_reads]]/Table13[[#This Row],[Cutadapt_Metrics_Total_Reads]])*100</f>
        <v>15.80411797440178</v>
      </c>
      <c r="Y115" t="s">
        <v>246</v>
      </c>
      <c r="Z115">
        <f>LEN(Table13[[#This Row],[Sequence]])</f>
        <v>368</v>
      </c>
      <c r="AA115" t="s">
        <v>266</v>
      </c>
      <c r="AB115" t="s">
        <v>290</v>
      </c>
      <c r="AC115">
        <v>85</v>
      </c>
      <c r="AD115">
        <v>98.73</v>
      </c>
      <c r="AE115" t="s">
        <v>47</v>
      </c>
      <c r="AF115" t="s">
        <v>32</v>
      </c>
      <c r="AG115" t="s">
        <v>32</v>
      </c>
      <c r="AH115" t="s">
        <v>247</v>
      </c>
      <c r="AI115">
        <f>LEN(Table13[[#This Row],[Correct_seq_if_RC]])</f>
        <v>368</v>
      </c>
      <c r="AJ115" t="str">
        <f>IF(Table13[[#This Row],[Column1]]=Table13[[#This Row],[Sequence_length]],"yes","no")</f>
        <v>yes</v>
      </c>
    </row>
    <row r="116" spans="1:36" ht="14.5" x14ac:dyDescent="0.35">
      <c r="A116" s="14">
        <v>3</v>
      </c>
      <c r="B116" s="15">
        <v>45063</v>
      </c>
      <c r="C116">
        <v>5</v>
      </c>
      <c r="D116" t="str">
        <f>Table13[[#This Row],[Nanopore_Run]] &amp; "_" &amp; Table13[[#This Row],[Barcode_ID]]</f>
        <v>3_5</v>
      </c>
      <c r="E116" s="14">
        <v>74208</v>
      </c>
      <c r="F116">
        <f>IF(COUNTIF($D$8:D116, D116)=1, Table13[[#This Row],[Reads count]], 0)</f>
        <v>74208</v>
      </c>
      <c r="G116" s="16">
        <v>90.939800000000005</v>
      </c>
      <c r="H116" t="s">
        <v>175</v>
      </c>
      <c r="I116" t="s">
        <v>24</v>
      </c>
      <c r="J116" t="s">
        <v>164</v>
      </c>
      <c r="K116" t="str">
        <f t="shared" si="3"/>
        <v>3_5_V1f / 530R</v>
      </c>
      <c r="L116">
        <v>4</v>
      </c>
      <c r="M116" t="s">
        <v>259</v>
      </c>
      <c r="N116" t="s">
        <v>102</v>
      </c>
      <c r="O116" t="s">
        <v>165</v>
      </c>
      <c r="P116" s="14">
        <v>410</v>
      </c>
      <c r="Q116" s="1" t="s">
        <v>42</v>
      </c>
      <c r="R116">
        <v>7846</v>
      </c>
      <c r="S116">
        <f>IF(COUNTIF($K$8:K116, K116)=1, Table13[[#This Row],[Cutadapt_Metrics_Total_Reads]], 0)</f>
        <v>7846</v>
      </c>
      <c r="T116" s="2">
        <f>(Table13[[#This Row],[Cutadapt_Metrics_Total_Reads]]/Table13[[#This Row],[Reads count]])*100</f>
        <v>10.572984044846917</v>
      </c>
      <c r="U116" t="s">
        <v>176</v>
      </c>
      <c r="V116" t="str">
        <f>Table13[[#This Row],[Amplicon_consensus]] &amp; "_Run" &amp; A116 &amp; "_Barcode" &amp; C116 &amp; "_" &amp; Table13[[#This Row],[Host]] &amp; "_" &amp; Table13[[#This Row],[Primers]]</f>
        <v>&gt;consensus_cl_id_9_total_supporting_reads_69_Run3_Barcode5_Gryllus bimaculatus_V1f / 530R</v>
      </c>
      <c r="W116">
        <v>69</v>
      </c>
      <c r="X116" s="17">
        <f>(Table13[[#This Row],[Supported_by_x_reads]]/Table13[[#This Row],[Cutadapt_Metrics_Total_Reads]])*100</f>
        <v>0.87942900841192961</v>
      </c>
      <c r="Y116" t="s">
        <v>177</v>
      </c>
      <c r="Z116">
        <f>LEN(Table13[[#This Row],[Sequence]])</f>
        <v>488</v>
      </c>
      <c r="AA116" t="s">
        <v>309</v>
      </c>
      <c r="AB116" t="s">
        <v>310</v>
      </c>
      <c r="AC116">
        <v>66</v>
      </c>
      <c r="AD116">
        <v>88</v>
      </c>
      <c r="AE116" t="s">
        <v>42</v>
      </c>
      <c r="AF116" t="s">
        <v>32</v>
      </c>
      <c r="AG116" t="s">
        <v>32</v>
      </c>
      <c r="AH116" t="s">
        <v>178</v>
      </c>
      <c r="AI116">
        <f>LEN(Table13[[#This Row],[Correct_seq_if_RC]])</f>
        <v>488</v>
      </c>
      <c r="AJ116" t="str">
        <f>IF(Table13[[#This Row],[Column1]]=Table13[[#This Row],[Sequence_length]],"yes","no")</f>
        <v>yes</v>
      </c>
    </row>
    <row r="117" spans="1:36" ht="14.5" x14ac:dyDescent="0.35">
      <c r="A117" s="14">
        <v>3</v>
      </c>
      <c r="B117" s="15">
        <v>45063</v>
      </c>
      <c r="C117">
        <v>5</v>
      </c>
      <c r="D117" t="str">
        <f>Table13[[#This Row],[Nanopore_Run]] &amp; "_" &amp; Table13[[#This Row],[Barcode_ID]]</f>
        <v>3_5</v>
      </c>
      <c r="E117" s="14">
        <v>74208</v>
      </c>
      <c r="F117">
        <f>IF(COUNTIF($D$8:D117, D117)=1, Table13[[#This Row],[Reads count]], 0)</f>
        <v>0</v>
      </c>
      <c r="G117" s="16">
        <v>90.939800000000005</v>
      </c>
      <c r="H117" t="s">
        <v>175</v>
      </c>
      <c r="I117" t="s">
        <v>24</v>
      </c>
      <c r="J117" t="s">
        <v>164</v>
      </c>
      <c r="K117" t="str">
        <f t="shared" si="3"/>
        <v>3_5_V1f / 530R</v>
      </c>
      <c r="L117">
        <v>4</v>
      </c>
      <c r="M117" t="s">
        <v>259</v>
      </c>
      <c r="N117" t="s">
        <v>102</v>
      </c>
      <c r="O117" t="s">
        <v>165</v>
      </c>
      <c r="P117" s="14">
        <v>410</v>
      </c>
      <c r="Q117" s="1" t="s">
        <v>42</v>
      </c>
      <c r="R117">
        <v>7846</v>
      </c>
      <c r="S117">
        <f>IF(COUNTIF($K$8:K117, K117)=1, Table13[[#This Row],[Cutadapt_Metrics_Total_Reads]], 0)</f>
        <v>0</v>
      </c>
      <c r="T117" s="2">
        <f>(Table13[[#This Row],[Cutadapt_Metrics_Total_Reads]]/Table13[[#This Row],[Reads count]])*100</f>
        <v>10.572984044846917</v>
      </c>
      <c r="U117" t="s">
        <v>179</v>
      </c>
      <c r="V117" t="str">
        <f>Table13[[#This Row],[Amplicon_consensus]] &amp; "_Run" &amp; A117 &amp; "_Barcode" &amp; C117 &amp; "_" &amp; Table13[[#This Row],[Host]] &amp; "_" &amp; Table13[[#This Row],[Primers]]</f>
        <v>&gt;consensus_cl_id_84_total_supporting_reads_80_Run3_Barcode5_Gryllus bimaculatus_V1f / 530R</v>
      </c>
      <c r="W117">
        <v>80</v>
      </c>
      <c r="X117" s="17">
        <f>(Table13[[#This Row],[Supported_by_x_reads]]/Table13[[#This Row],[Cutadapt_Metrics_Total_Reads]])*100</f>
        <v>1.0196278358399185</v>
      </c>
      <c r="Y117" t="s">
        <v>180</v>
      </c>
      <c r="Z117">
        <f>LEN(Table13[[#This Row],[Sequence]])</f>
        <v>500</v>
      </c>
      <c r="AA117" t="s">
        <v>168</v>
      </c>
      <c r="AB117" t="s">
        <v>308</v>
      </c>
      <c r="AC117">
        <v>88</v>
      </c>
      <c r="AD117">
        <v>99.8</v>
      </c>
      <c r="AE117" t="s">
        <v>42</v>
      </c>
      <c r="AF117" t="s">
        <v>32</v>
      </c>
      <c r="AG117" t="s">
        <v>32</v>
      </c>
      <c r="AH117" t="s">
        <v>181</v>
      </c>
      <c r="AI117">
        <f>LEN(Table13[[#This Row],[Correct_seq_if_RC]])</f>
        <v>500</v>
      </c>
      <c r="AJ117" t="str">
        <f>IF(Table13[[#This Row],[Column1]]=Table13[[#This Row],[Sequence_length]],"yes","no")</f>
        <v>yes</v>
      </c>
    </row>
    <row r="118" spans="1:36" ht="14.5" x14ac:dyDescent="0.35">
      <c r="A118" s="14">
        <v>3</v>
      </c>
      <c r="B118" s="15">
        <v>45063</v>
      </c>
      <c r="C118">
        <v>5</v>
      </c>
      <c r="D118" t="str">
        <f>Table13[[#This Row],[Nanopore_Run]] &amp; "_" &amp; Table13[[#This Row],[Barcode_ID]]</f>
        <v>3_5</v>
      </c>
      <c r="E118" s="14">
        <v>74208</v>
      </c>
      <c r="F118">
        <f>IF(COUNTIF($D$8:D118, D118)=1, Table13[[#This Row],[Reads count]], 0)</f>
        <v>0</v>
      </c>
      <c r="G118" s="16">
        <v>90.939800000000005</v>
      </c>
      <c r="H118" t="s">
        <v>175</v>
      </c>
      <c r="I118" t="s">
        <v>24</v>
      </c>
      <c r="J118" t="s">
        <v>164</v>
      </c>
      <c r="K118" t="str">
        <f t="shared" si="3"/>
        <v>3_5_V1f / 530R</v>
      </c>
      <c r="L118">
        <v>4</v>
      </c>
      <c r="M118" t="s">
        <v>259</v>
      </c>
      <c r="N118" t="s">
        <v>102</v>
      </c>
      <c r="O118" t="s">
        <v>165</v>
      </c>
      <c r="P118" s="14">
        <v>410</v>
      </c>
      <c r="Q118" s="1" t="s">
        <v>42</v>
      </c>
      <c r="R118">
        <v>7846</v>
      </c>
      <c r="S118">
        <f>IF(COUNTIF($K$8:K118, K118)=1, Table13[[#This Row],[Cutadapt_Metrics_Total_Reads]], 0)</f>
        <v>0</v>
      </c>
      <c r="T118" s="2">
        <f>(Table13[[#This Row],[Cutadapt_Metrics_Total_Reads]]/Table13[[#This Row],[Reads count]])*100</f>
        <v>10.572984044846917</v>
      </c>
      <c r="U118" t="s">
        <v>302</v>
      </c>
      <c r="W118">
        <v>45</v>
      </c>
      <c r="X118" s="17">
        <f>(Table13[[#This Row],[Supported_by_x_reads]]/Table13[[#This Row],[Cutadapt_Metrics_Total_Reads]])*100</f>
        <v>0.5735406576599541</v>
      </c>
      <c r="Y118" t="s">
        <v>303</v>
      </c>
      <c r="Z118">
        <f>LEN(Table13[[#This Row],[Sequence]])</f>
        <v>401</v>
      </c>
      <c r="AA118" t="s">
        <v>266</v>
      </c>
      <c r="AB118" t="s">
        <v>290</v>
      </c>
      <c r="AC118">
        <v>83</v>
      </c>
      <c r="AD118">
        <v>97.6</v>
      </c>
      <c r="AE118" t="s">
        <v>47</v>
      </c>
      <c r="AF118" t="s">
        <v>54</v>
      </c>
      <c r="AG118" t="s">
        <v>31</v>
      </c>
      <c r="AH118" t="s">
        <v>31</v>
      </c>
    </row>
    <row r="119" spans="1:36" ht="14.5" x14ac:dyDescent="0.35">
      <c r="A119" s="14">
        <v>3</v>
      </c>
      <c r="B119" s="15">
        <v>45063</v>
      </c>
      <c r="C119">
        <v>5</v>
      </c>
      <c r="D119" t="str">
        <f>Table13[[#This Row],[Nanopore_Run]] &amp; "_" &amp; Table13[[#This Row],[Barcode_ID]]</f>
        <v>3_5</v>
      </c>
      <c r="E119" s="14">
        <v>74208</v>
      </c>
      <c r="F119">
        <f>IF(COUNTIF($D$8:D119, D119)=1, Table13[[#This Row],[Reads count]], 0)</f>
        <v>0</v>
      </c>
      <c r="G119" s="16">
        <v>90.939800000000005</v>
      </c>
      <c r="H119" t="s">
        <v>175</v>
      </c>
      <c r="I119" t="s">
        <v>24</v>
      </c>
      <c r="J119" t="s">
        <v>164</v>
      </c>
      <c r="K119" t="str">
        <f t="shared" si="3"/>
        <v>3_5_V1f / 530R</v>
      </c>
      <c r="L119">
        <v>4</v>
      </c>
      <c r="M119" t="s">
        <v>259</v>
      </c>
      <c r="N119" t="s">
        <v>102</v>
      </c>
      <c r="O119" t="s">
        <v>165</v>
      </c>
      <c r="P119" s="14">
        <v>410</v>
      </c>
      <c r="Q119" s="1" t="s">
        <v>42</v>
      </c>
      <c r="R119">
        <v>7846</v>
      </c>
      <c r="S119">
        <f>IF(COUNTIF($K$8:K119, K119)=1, Table13[[#This Row],[Cutadapt_Metrics_Total_Reads]], 0)</f>
        <v>0</v>
      </c>
      <c r="T119" s="2">
        <f>(Table13[[#This Row],[Cutadapt_Metrics_Total_Reads]]/Table13[[#This Row],[Reads count]])*100</f>
        <v>10.572984044846917</v>
      </c>
      <c r="U119" t="s">
        <v>304</v>
      </c>
      <c r="W119">
        <v>51</v>
      </c>
      <c r="X119" s="17">
        <f>(Table13[[#This Row],[Supported_by_x_reads]]/Table13[[#This Row],[Cutadapt_Metrics_Total_Reads]])*100</f>
        <v>0.65001274534794806</v>
      </c>
      <c r="Y119" t="s">
        <v>305</v>
      </c>
      <c r="Z119">
        <f>LEN(Table13[[#This Row],[Sequence]])</f>
        <v>586</v>
      </c>
      <c r="AA119" t="s">
        <v>306</v>
      </c>
      <c r="AB119" t="s">
        <v>307</v>
      </c>
      <c r="AC119">
        <v>65</v>
      </c>
      <c r="AD119">
        <v>87.8</v>
      </c>
      <c r="AE119" t="s">
        <v>42</v>
      </c>
      <c r="AF119" t="s">
        <v>32</v>
      </c>
      <c r="AG119" t="s">
        <v>54</v>
      </c>
      <c r="AH119" t="s">
        <v>31</v>
      </c>
    </row>
    <row r="120" spans="1:36" ht="14.5" x14ac:dyDescent="0.35">
      <c r="A120" s="14">
        <v>3</v>
      </c>
      <c r="B120" s="15">
        <v>45063</v>
      </c>
      <c r="C120">
        <v>5</v>
      </c>
      <c r="D120" t="str">
        <f>Table13[[#This Row],[Nanopore_Run]] &amp; "_" &amp; Table13[[#This Row],[Barcode_ID]]</f>
        <v>3_5</v>
      </c>
      <c r="E120" s="14">
        <v>74208</v>
      </c>
      <c r="F120">
        <f>IF(COUNTIF($D$8:D120, D120)=1, Table13[[#This Row],[Reads count]], 0)</f>
        <v>0</v>
      </c>
      <c r="G120" s="16">
        <v>90.939800000000005</v>
      </c>
      <c r="H120" t="s">
        <v>175</v>
      </c>
      <c r="I120" t="s">
        <v>24</v>
      </c>
      <c r="J120" t="s">
        <v>269</v>
      </c>
      <c r="K120" t="str">
        <f t="shared" si="3"/>
        <v>3_5_1-18S-GRF/1222-18S-GRR</v>
      </c>
      <c r="L120">
        <v>3</v>
      </c>
      <c r="M120" t="s">
        <v>259</v>
      </c>
      <c r="N120" t="s">
        <v>170</v>
      </c>
      <c r="O120" t="s">
        <v>171</v>
      </c>
      <c r="P120" s="14">
        <v>950</v>
      </c>
      <c r="Q120" s="1" t="s">
        <v>47</v>
      </c>
      <c r="R120">
        <v>9</v>
      </c>
      <c r="S120">
        <f>IF(COUNTIF($K$8:K120, K120)=1, Table13[[#This Row],[Cutadapt_Metrics_Total_Reads]], 0)</f>
        <v>9</v>
      </c>
      <c r="T120" s="2">
        <f>(Table13[[#This Row],[Cutadapt_Metrics_Total_Reads]]/Table13[[#This Row],[Reads count]])*100</f>
        <v>1.2128072445019405E-2</v>
      </c>
      <c r="U120" t="s">
        <v>88</v>
      </c>
      <c r="W120">
        <v>2</v>
      </c>
      <c r="X120" s="17">
        <f>(Table13[[#This Row],[Supported_by_x_reads]]/Table13[[#This Row],[Cutadapt_Metrics_Total_Reads]])*100</f>
        <v>22.222222222222221</v>
      </c>
      <c r="Y120" t="s">
        <v>321</v>
      </c>
      <c r="Z120">
        <f>LEN(Table13[[#This Row],[Sequence]])</f>
        <v>1160</v>
      </c>
      <c r="AA120" t="s">
        <v>229</v>
      </c>
      <c r="AB120" t="s">
        <v>299</v>
      </c>
      <c r="AC120">
        <v>84</v>
      </c>
      <c r="AD120">
        <v>92.3</v>
      </c>
      <c r="AE120" t="s">
        <v>67</v>
      </c>
      <c r="AF120" t="s">
        <v>54</v>
      </c>
      <c r="AG120" t="s">
        <v>31</v>
      </c>
      <c r="AH120" t="s">
        <v>31</v>
      </c>
    </row>
    <row r="121" spans="1:36" ht="14.5" x14ac:dyDescent="0.35">
      <c r="A121" s="14">
        <v>3</v>
      </c>
      <c r="B121" s="15">
        <v>45063</v>
      </c>
      <c r="C121">
        <v>5</v>
      </c>
      <c r="D121" t="str">
        <f>Table13[[#This Row],[Nanopore_Run]] &amp; "_" &amp; Table13[[#This Row],[Barcode_ID]]</f>
        <v>3_5</v>
      </c>
      <c r="E121" s="14">
        <v>74208</v>
      </c>
      <c r="F121">
        <f>IF(COUNTIF($D$8:D121, D121)=1, Table13[[#This Row],[Reads count]], 0)</f>
        <v>0</v>
      </c>
      <c r="G121" s="16">
        <v>90.939800000000005</v>
      </c>
      <c r="H121" t="s">
        <v>175</v>
      </c>
      <c r="I121" t="s">
        <v>24</v>
      </c>
      <c r="J121" t="s">
        <v>269</v>
      </c>
      <c r="K121" t="str">
        <f t="shared" si="3"/>
        <v>3_5_1-18S-GRF/1222-18S-GRR</v>
      </c>
      <c r="L121">
        <v>3</v>
      </c>
      <c r="M121" t="s">
        <v>259</v>
      </c>
      <c r="N121" t="s">
        <v>170</v>
      </c>
      <c r="O121" t="s">
        <v>171</v>
      </c>
      <c r="P121" s="14">
        <v>950</v>
      </c>
      <c r="Q121" s="1" t="s">
        <v>47</v>
      </c>
      <c r="R121">
        <v>9</v>
      </c>
      <c r="S121">
        <f>IF(COUNTIF($K$8:K121, K121)=1, Table13[[#This Row],[Cutadapt_Metrics_Total_Reads]], 0)</f>
        <v>0</v>
      </c>
      <c r="T121" s="2">
        <f>(Table13[[#This Row],[Cutadapt_Metrics_Total_Reads]]/Table13[[#This Row],[Reads count]])*100</f>
        <v>1.2128072445019405E-2</v>
      </c>
      <c r="U121" t="s">
        <v>320</v>
      </c>
      <c r="W121">
        <v>2</v>
      </c>
      <c r="X121" s="17">
        <f>(Table13[[#This Row],[Supported_by_x_reads]]/Table13[[#This Row],[Cutadapt_Metrics_Total_Reads]])*100</f>
        <v>22.222222222222221</v>
      </c>
      <c r="Y121" t="s">
        <v>322</v>
      </c>
      <c r="Z121">
        <f>LEN(Table13[[#This Row],[Sequence]])</f>
        <v>1062</v>
      </c>
      <c r="AA121" t="s">
        <v>168</v>
      </c>
      <c r="AB121" t="s">
        <v>308</v>
      </c>
      <c r="AC121">
        <v>40</v>
      </c>
      <c r="AD121">
        <v>92.5</v>
      </c>
      <c r="AE121" t="s">
        <v>42</v>
      </c>
      <c r="AF121" t="s">
        <v>54</v>
      </c>
      <c r="AG121" t="s">
        <v>31</v>
      </c>
      <c r="AH121" t="s">
        <v>31</v>
      </c>
    </row>
    <row r="122" spans="1:36" ht="14.5" x14ac:dyDescent="0.35">
      <c r="A122" s="14">
        <v>3</v>
      </c>
      <c r="B122" s="15">
        <v>45063</v>
      </c>
      <c r="C122">
        <v>5</v>
      </c>
      <c r="D122" t="str">
        <f>Table13[[#This Row],[Nanopore_Run]] &amp; "_" &amp; Table13[[#This Row],[Barcode_ID]]</f>
        <v>3_5</v>
      </c>
      <c r="E122" s="14">
        <v>74208</v>
      </c>
      <c r="F122">
        <f>IF(COUNTIF($D$8:D122, D122)=1, Table13[[#This Row],[Reads count]], 0)</f>
        <v>0</v>
      </c>
      <c r="G122" s="16">
        <v>90.939800000000005</v>
      </c>
      <c r="H122" t="s">
        <v>175</v>
      </c>
      <c r="I122" t="s">
        <v>24</v>
      </c>
      <c r="J122" t="s">
        <v>269</v>
      </c>
      <c r="K122" t="str">
        <f t="shared" si="3"/>
        <v>3_5_1-18S-GRF/1222-18S-GRR</v>
      </c>
      <c r="L122">
        <v>3</v>
      </c>
      <c r="M122" t="s">
        <v>259</v>
      </c>
      <c r="N122" t="s">
        <v>170</v>
      </c>
      <c r="O122" t="s">
        <v>171</v>
      </c>
      <c r="P122" s="14">
        <v>950</v>
      </c>
      <c r="Q122" s="1" t="s">
        <v>47</v>
      </c>
      <c r="R122">
        <v>9</v>
      </c>
      <c r="S122">
        <f>IF(COUNTIF($K$8:K122, K122)=1, Table13[[#This Row],[Cutadapt_Metrics_Total_Reads]], 0)</f>
        <v>0</v>
      </c>
      <c r="T122" s="2">
        <f>(Table13[[#This Row],[Cutadapt_Metrics_Total_Reads]]/Table13[[#This Row],[Reads count]])*100</f>
        <v>1.2128072445019405E-2</v>
      </c>
      <c r="U122" t="s">
        <v>172</v>
      </c>
      <c r="W122">
        <v>3</v>
      </c>
      <c r="X122" s="17">
        <f>(Table13[[#This Row],[Supported_by_x_reads]]/Table13[[#This Row],[Cutadapt_Metrics_Total_Reads]])*100</f>
        <v>33.333333333333329</v>
      </c>
      <c r="Y122" t="s">
        <v>173</v>
      </c>
      <c r="Z122">
        <f>LEN(Table13[[#This Row],[Sequence]])</f>
        <v>1012</v>
      </c>
      <c r="AA122" t="s">
        <v>174</v>
      </c>
      <c r="AB122" t="s">
        <v>323</v>
      </c>
      <c r="AC122">
        <v>96</v>
      </c>
      <c r="AD122">
        <v>94.1</v>
      </c>
      <c r="AE122" t="s">
        <v>67</v>
      </c>
      <c r="AF122" t="s">
        <v>54</v>
      </c>
      <c r="AG122" t="s">
        <v>31</v>
      </c>
      <c r="AH122" t="s">
        <v>31</v>
      </c>
    </row>
    <row r="123" spans="1:36" ht="14.5" x14ac:dyDescent="0.35">
      <c r="A123" s="14">
        <v>3</v>
      </c>
      <c r="B123" s="15">
        <v>45063</v>
      </c>
      <c r="C123">
        <v>5</v>
      </c>
      <c r="D123" t="str">
        <f>Table13[[#This Row],[Nanopore_Run]] &amp; "_" &amp; Table13[[#This Row],[Barcode_ID]]</f>
        <v>3_5</v>
      </c>
      <c r="E123" s="14">
        <v>74208</v>
      </c>
      <c r="F123">
        <f>IF(COUNTIF($D$8:D123, D123)=1, Table13[[#This Row],[Reads count]], 0)</f>
        <v>0</v>
      </c>
      <c r="G123" s="16">
        <v>90.939800000000005</v>
      </c>
      <c r="H123" t="s">
        <v>182</v>
      </c>
      <c r="I123" t="s">
        <v>24</v>
      </c>
      <c r="J123" t="s">
        <v>93</v>
      </c>
      <c r="K123" t="str">
        <f t="shared" si="3"/>
        <v>3_5_GregF / GregR</v>
      </c>
      <c r="L123">
        <v>1</v>
      </c>
      <c r="M123" t="s">
        <v>259</v>
      </c>
      <c r="N123" s="19" t="s">
        <v>94</v>
      </c>
      <c r="O123" t="s">
        <v>95</v>
      </c>
      <c r="P123" s="14">
        <v>300</v>
      </c>
      <c r="Q123" s="1" t="s">
        <v>47</v>
      </c>
      <c r="R123">
        <v>1736</v>
      </c>
      <c r="S123">
        <f>IF(COUNTIF($K$8:K123, K123)=1, Table13[[#This Row],[Cutadapt_Metrics_Total_Reads]], 0)</f>
        <v>1736</v>
      </c>
      <c r="T123" s="2">
        <f>(Table13[[#This Row],[Cutadapt_Metrics_Total_Reads]]/Table13[[#This Row],[Reads count]])*100</f>
        <v>2.3393704182837429</v>
      </c>
      <c r="U123" t="s">
        <v>183</v>
      </c>
      <c r="V123" t="str">
        <f>Table13[[#This Row],[Amplicon_consensus]] &amp; "_Run" &amp; A123 &amp; "_Barcode" &amp; C123 &amp; "_" &amp; Table13[[#This Row],[Host]] &amp; "_" &amp; Table13[[#This Row],[Primers]]</f>
        <v xml:space="preserve">&gt;consensus_cl_id_0_total_supporting_reads_114_Run3_Barcode5_Gryllus bimaculatus_GregF / GregR </v>
      </c>
      <c r="W123">
        <v>114</v>
      </c>
      <c r="X123" s="17">
        <f>(Table13[[#This Row],[Supported_by_x_reads]]/Table13[[#This Row],[Cutadapt_Metrics_Total_Reads]])*100</f>
        <v>6.5668202764976948</v>
      </c>
      <c r="Y123" t="s">
        <v>184</v>
      </c>
      <c r="Z123">
        <f>LEN(Table13[[#This Row],[Sequence]])</f>
        <v>370</v>
      </c>
      <c r="AA123" t="s">
        <v>266</v>
      </c>
      <c r="AB123" t="s">
        <v>290</v>
      </c>
      <c r="AC123">
        <v>85</v>
      </c>
      <c r="AD123">
        <v>97.5</v>
      </c>
      <c r="AE123" t="s">
        <v>47</v>
      </c>
      <c r="AF123" t="s">
        <v>32</v>
      </c>
      <c r="AG123" t="s">
        <v>32</v>
      </c>
      <c r="AH123" t="str" cm="1">
        <f t="array" ref="AH123">ReverseComplement(Table13[[#This Row],[Sequence]])</f>
        <v>AGTTACGTATTGCTAAGGTTAAAAGGTTACACAAACCCTGGACAAGCAGCACCTCCCTTAGATGGTCTGGGCTGCACGTGCGCTACAATGACGGAGTCAGCGAGCTCTGCCCTACTTCGTACGAAGCGGGAAATCTTGTGAAACTCCGTCGTGATAGGGATTGACCTTTGCAATTATGGGTCATGAACGAGGAATTCCTAGTAAGGACAAGTCATCACCTTGTGCTGATTACGTCCCTGCCCTTTGTACACACCGCCCGTCGCTTCAACCGATTGGATGATCCGGCAAATTACATGGACTTACGTAGTCGCCTTGTTTTACATCGCACTTCGTGAGGAAATGTTGTGAGCCTTATCATCTAGAGGATGAT</v>
      </c>
    </row>
    <row r="124" spans="1:36" ht="14.5" x14ac:dyDescent="0.35">
      <c r="A124" s="14">
        <v>3</v>
      </c>
      <c r="B124" s="15">
        <v>45063</v>
      </c>
      <c r="C124">
        <v>5</v>
      </c>
      <c r="D124" t="str">
        <f>Table13[[#This Row],[Nanopore_Run]] &amp; "_" &amp; Table13[[#This Row],[Barcode_ID]]</f>
        <v>3_5</v>
      </c>
      <c r="E124" s="14">
        <v>74208</v>
      </c>
      <c r="F124">
        <f>IF(COUNTIF($D$8:D124, D124)=1, Table13[[#This Row],[Reads count]], 0)</f>
        <v>0</v>
      </c>
      <c r="G124" s="16">
        <v>90.939800000000005</v>
      </c>
      <c r="H124" t="s">
        <v>182</v>
      </c>
      <c r="I124" t="s">
        <v>24</v>
      </c>
      <c r="J124" t="s">
        <v>93</v>
      </c>
      <c r="K124" t="str">
        <f t="shared" si="3"/>
        <v>3_5_GregF / GregR</v>
      </c>
      <c r="L124">
        <v>1</v>
      </c>
      <c r="M124" t="s">
        <v>259</v>
      </c>
      <c r="N124" s="19" t="s">
        <v>94</v>
      </c>
      <c r="O124" t="s">
        <v>95</v>
      </c>
      <c r="P124" s="14">
        <v>300</v>
      </c>
      <c r="Q124" s="1" t="s">
        <v>47</v>
      </c>
      <c r="R124">
        <v>1736</v>
      </c>
      <c r="S124">
        <f>IF(COUNTIF($K$8:K124, K124)=1, Table13[[#This Row],[Cutadapt_Metrics_Total_Reads]], 0)</f>
        <v>0</v>
      </c>
      <c r="T124" s="2">
        <f>(Table13[[#This Row],[Cutadapt_Metrics_Total_Reads]]/Table13[[#This Row],[Reads count]])*100</f>
        <v>2.3393704182837429</v>
      </c>
      <c r="U124" t="s">
        <v>324</v>
      </c>
      <c r="V124" t="str">
        <f>Table13[[#This Row],[Amplicon_consensus]] &amp; "_Run" &amp; A124 &amp; "_Barcode" &amp; C124 &amp; "_" &amp; Table13[[#This Row],[Host]] &amp; "_" &amp; Table13[[#This Row],[Primers]]</f>
        <v xml:space="preserve">&gt;consensus_cl_id_12_total_supporting_reads_105_Run3_Barcode5_Gryllus bimaculatus_GregF / GregR </v>
      </c>
      <c r="W124">
        <v>105</v>
      </c>
      <c r="X124" s="17">
        <f>(Table13[[#This Row],[Supported_by_x_reads]]/Table13[[#This Row],[Cutadapt_Metrics_Total_Reads]])*100</f>
        <v>6.0483870967741939</v>
      </c>
      <c r="Y124" t="s">
        <v>325</v>
      </c>
      <c r="Z124">
        <f>LEN(Table13[[#This Row],[Sequence]])</f>
        <v>361</v>
      </c>
      <c r="AA124" t="s">
        <v>326</v>
      </c>
      <c r="AB124" t="s">
        <v>327</v>
      </c>
      <c r="AC124">
        <v>12</v>
      </c>
      <c r="AD124">
        <v>100</v>
      </c>
      <c r="AE124" t="s">
        <v>328</v>
      </c>
      <c r="AF124" t="s">
        <v>54</v>
      </c>
      <c r="AG124" t="s">
        <v>31</v>
      </c>
      <c r="AH124" t="s">
        <v>31</v>
      </c>
      <c r="AI124">
        <f>LEN(Table13[[#This Row],[Correct_seq_if_RC]])</f>
        <v>2</v>
      </c>
      <c r="AJ124" t="str">
        <f>IF(Table13[[#This Row],[Column1]]=Table13[[#This Row],[Sequence_length]],"yes","no")</f>
        <v>no</v>
      </c>
    </row>
    <row r="125" spans="1:36" ht="14.5" x14ac:dyDescent="0.35">
      <c r="A125" s="14">
        <v>3</v>
      </c>
      <c r="B125" s="15">
        <v>45063</v>
      </c>
      <c r="C125">
        <v>6</v>
      </c>
      <c r="D125" t="str">
        <f>Table13[[#This Row],[Nanopore_Run]] &amp; "_" &amp; Table13[[#This Row],[Barcode_ID]]</f>
        <v>3_6</v>
      </c>
      <c r="E125" s="14">
        <v>62732</v>
      </c>
      <c r="F125">
        <f>IF(COUNTIF($D$8:D125, D125)=1, Table13[[#This Row],[Reads count]], 0)</f>
        <v>62732</v>
      </c>
      <c r="G125" s="16">
        <v>93.876400000000004</v>
      </c>
      <c r="H125" t="s">
        <v>159</v>
      </c>
      <c r="I125" t="s">
        <v>24</v>
      </c>
      <c r="J125" t="s">
        <v>93</v>
      </c>
      <c r="K125" t="str">
        <f t="shared" si="3"/>
        <v>3_6_GregF / GregR</v>
      </c>
      <c r="L125">
        <v>2</v>
      </c>
      <c r="M125" t="s">
        <v>259</v>
      </c>
      <c r="N125" s="19" t="s">
        <v>94</v>
      </c>
      <c r="O125" t="s">
        <v>95</v>
      </c>
      <c r="P125" s="14">
        <v>300</v>
      </c>
      <c r="Q125" s="1" t="s">
        <v>47</v>
      </c>
      <c r="R125">
        <v>1557</v>
      </c>
      <c r="S125">
        <f>IF(COUNTIF($K$8:K125, K125)=1, Table13[[#This Row],[Cutadapt_Metrics_Total_Reads]], 0)</f>
        <v>1557</v>
      </c>
      <c r="T125" s="2">
        <f>(Table13[[#This Row],[Cutadapt_Metrics_Total_Reads]]/Table13[[#This Row],[Reads count]])*100</f>
        <v>2.4819868647580181</v>
      </c>
      <c r="U125" t="s">
        <v>160</v>
      </c>
      <c r="V125" t="str">
        <f>Table13[[#This Row],[Amplicon_consensus]] &amp; "_Run" &amp; A125 &amp; "_Barcode" &amp; C125 &amp; "_" &amp; Table13[[#This Row],[Host]] &amp; "_" &amp; Table13[[#This Row],[Primers]]</f>
        <v xml:space="preserve">&gt;consensus_cl_id_64_total_supporting_reads_81_Run3_Barcode6_Gryllus bimaculatus_GregF / GregR </v>
      </c>
      <c r="W125">
        <v>81</v>
      </c>
      <c r="X125" s="17">
        <f>(Table13[[#This Row],[Supported_by_x_reads]]/Table13[[#This Row],[Cutadapt_Metrics_Total_Reads]])*100</f>
        <v>5.202312138728324</v>
      </c>
      <c r="Y125" t="s">
        <v>161</v>
      </c>
      <c r="Z125">
        <f>LEN(Table13[[#This Row],[Sequence]])</f>
        <v>403</v>
      </c>
      <c r="AA125" t="s">
        <v>266</v>
      </c>
      <c r="AB125" t="s">
        <v>290</v>
      </c>
      <c r="AC125">
        <v>81</v>
      </c>
      <c r="AD125">
        <v>97</v>
      </c>
      <c r="AE125" t="s">
        <v>47</v>
      </c>
      <c r="AF125" t="s">
        <v>32</v>
      </c>
      <c r="AG125" t="s">
        <v>32</v>
      </c>
      <c r="AH125" t="s">
        <v>162</v>
      </c>
      <c r="AI125">
        <f>LEN(Table13[[#This Row],[Correct_seq_if_RC]])</f>
        <v>403</v>
      </c>
      <c r="AJ125" t="str">
        <f>IF(Table13[[#This Row],[Column1]]=Table13[[#This Row],[Sequence_length]],"yes","no")</f>
        <v>yes</v>
      </c>
    </row>
    <row r="126" spans="1:36" ht="14.5" x14ac:dyDescent="0.35">
      <c r="A126" s="14">
        <v>3</v>
      </c>
      <c r="B126" s="15">
        <v>45063</v>
      </c>
      <c r="C126">
        <v>6</v>
      </c>
      <c r="D126" t="str">
        <f>Table13[[#This Row],[Nanopore_Run]] &amp; "_" &amp; Table13[[#This Row],[Barcode_ID]]</f>
        <v>3_6</v>
      </c>
      <c r="E126" s="14">
        <v>62732</v>
      </c>
      <c r="F126">
        <f>IF(COUNTIF($D$8:D126, D126)=1, Table13[[#This Row],[Reads count]], 0)</f>
        <v>0</v>
      </c>
      <c r="G126" s="16">
        <v>93.876400000000004</v>
      </c>
      <c r="H126" t="s">
        <v>159</v>
      </c>
      <c r="I126" t="s">
        <v>24</v>
      </c>
      <c r="J126" t="s">
        <v>93</v>
      </c>
      <c r="K126" t="str">
        <f t="shared" si="3"/>
        <v>3_6_GregF / GregR</v>
      </c>
      <c r="L126">
        <v>2</v>
      </c>
      <c r="M126" t="s">
        <v>259</v>
      </c>
      <c r="N126" s="19" t="s">
        <v>94</v>
      </c>
      <c r="O126" t="s">
        <v>95</v>
      </c>
      <c r="P126" s="14">
        <v>300</v>
      </c>
      <c r="Q126" s="1" t="s">
        <v>47</v>
      </c>
      <c r="R126">
        <v>1557</v>
      </c>
      <c r="S126">
        <f>IF(COUNTIF($K$8:K126, K126)=1, Table13[[#This Row],[Cutadapt_Metrics_Total_Reads]], 0)</f>
        <v>0</v>
      </c>
      <c r="T126" s="2">
        <f>(Table13[[#This Row],[Cutadapt_Metrics_Total_Reads]]/Table13[[#This Row],[Reads count]])*100</f>
        <v>2.4819868647580181</v>
      </c>
      <c r="U126" t="s">
        <v>311</v>
      </c>
      <c r="V126" t="str">
        <f>Table13[[#This Row],[Amplicon_consensus]] &amp; "_Run" &amp; A126 &amp; "_Barcode" &amp; C126 &amp; "_" &amp; Table13[[#This Row],[Host]] &amp; "_" &amp; Table13[[#This Row],[Primers]]</f>
        <v xml:space="preserve">&gt;consensus_cl_id_11_total_supporting_reads_133_Run3_Barcode6_Gryllus bimaculatus_GregF / GregR </v>
      </c>
      <c r="W126">
        <v>133</v>
      </c>
      <c r="X126" s="17">
        <f>(Table13[[#This Row],[Supported_by_x_reads]]/Table13[[#This Row],[Cutadapt_Metrics_Total_Reads]])*100</f>
        <v>8.5420680796403339</v>
      </c>
      <c r="Y126" t="s">
        <v>312</v>
      </c>
      <c r="Z126">
        <f>LEN(Table13[[#This Row],[Sequence]])</f>
        <v>342</v>
      </c>
      <c r="AA126" t="s">
        <v>315</v>
      </c>
      <c r="AB126" t="s">
        <v>316</v>
      </c>
      <c r="AC126">
        <v>74</v>
      </c>
      <c r="AD126">
        <v>95.7</v>
      </c>
      <c r="AE126" t="s">
        <v>109</v>
      </c>
      <c r="AG126" t="s">
        <v>31</v>
      </c>
      <c r="AH126" t="s">
        <v>31</v>
      </c>
    </row>
    <row r="127" spans="1:36" ht="14.5" x14ac:dyDescent="0.35">
      <c r="A127" s="14">
        <v>3</v>
      </c>
      <c r="B127" s="15">
        <v>45063</v>
      </c>
      <c r="C127">
        <v>6</v>
      </c>
      <c r="D127" t="str">
        <f>Table13[[#This Row],[Nanopore_Run]] &amp; "_" &amp; Table13[[#This Row],[Barcode_ID]]</f>
        <v>3_6</v>
      </c>
      <c r="E127" s="14">
        <v>62732</v>
      </c>
      <c r="F127">
        <f>IF(COUNTIF($D$8:D127, D127)=1, Table13[[#This Row],[Reads count]], 0)</f>
        <v>0</v>
      </c>
      <c r="G127" s="16">
        <v>93.876400000000004</v>
      </c>
      <c r="H127" t="s">
        <v>163</v>
      </c>
      <c r="I127" t="s">
        <v>24</v>
      </c>
      <c r="J127" t="s">
        <v>164</v>
      </c>
      <c r="K127" t="str">
        <f t="shared" si="3"/>
        <v>3_6_V1f / 530R</v>
      </c>
      <c r="L127">
        <v>2</v>
      </c>
      <c r="M127" t="s">
        <v>259</v>
      </c>
      <c r="N127" t="s">
        <v>102</v>
      </c>
      <c r="O127" t="s">
        <v>165</v>
      </c>
      <c r="P127" s="14">
        <v>410</v>
      </c>
      <c r="Q127" s="1" t="s">
        <v>42</v>
      </c>
      <c r="R127">
        <v>6528</v>
      </c>
      <c r="S127">
        <f>IF(COUNTIF($K$8:K127, K127)=1, Table13[[#This Row],[Cutadapt_Metrics_Total_Reads]], 0)</f>
        <v>6528</v>
      </c>
      <c r="T127" s="2">
        <f>(Table13[[#This Row],[Cutadapt_Metrics_Total_Reads]]/Table13[[#This Row],[Reads count]])*100</f>
        <v>10.406172288465216</v>
      </c>
      <c r="U127" t="s">
        <v>314</v>
      </c>
      <c r="V127" t="str">
        <f>Table13[[#This Row],[Amplicon_consensus]] &amp; "_Run" &amp; A127 &amp; "_Barcode" &amp; C127 &amp; "_" &amp; Table13[[#This Row],[Host]] &amp; "_" &amp; Table13[[#This Row],[Primers]]</f>
        <v>&gt;consensus_cl_id_51_total_supporting_reads_81_Run3_Barcode6_Gryllus bimaculatus_V1f / 530R</v>
      </c>
      <c r="W127">
        <v>81</v>
      </c>
      <c r="X127" s="17">
        <f>(Table13[[#This Row],[Supported_by_x_reads]]/Table13[[#This Row],[Cutadapt_Metrics_Total_Reads]])*100</f>
        <v>1.2408088235294117</v>
      </c>
      <c r="Y127" t="s">
        <v>313</v>
      </c>
      <c r="Z127">
        <f>LEN(Table13[[#This Row],[Sequence]])</f>
        <v>554</v>
      </c>
      <c r="AA127" t="s">
        <v>168</v>
      </c>
      <c r="AB127" t="s">
        <v>308</v>
      </c>
      <c r="AC127">
        <v>81</v>
      </c>
      <c r="AD127">
        <v>99.6</v>
      </c>
      <c r="AE127" t="s">
        <v>42</v>
      </c>
      <c r="AF127" t="s">
        <v>32</v>
      </c>
      <c r="AG127" t="s">
        <v>54</v>
      </c>
      <c r="AH127" t="s">
        <v>31</v>
      </c>
    </row>
    <row r="128" spans="1:36" ht="14.5" x14ac:dyDescent="0.35">
      <c r="A128" s="14">
        <v>3</v>
      </c>
      <c r="B128" s="15">
        <v>45063</v>
      </c>
      <c r="C128">
        <v>6</v>
      </c>
      <c r="D128" t="str">
        <f>Table13[[#This Row],[Nanopore_Run]] &amp; "_" &amp; Table13[[#This Row],[Barcode_ID]]</f>
        <v>3_6</v>
      </c>
      <c r="E128" s="14">
        <v>62732</v>
      </c>
      <c r="F128">
        <f>IF(COUNTIF($D$8:D128, D128)=1, Table13[[#This Row],[Reads count]], 0)</f>
        <v>0</v>
      </c>
      <c r="G128" s="16">
        <v>93.876400000000004</v>
      </c>
      <c r="H128" t="s">
        <v>163</v>
      </c>
      <c r="I128" t="s">
        <v>24</v>
      </c>
      <c r="J128" t="s">
        <v>164</v>
      </c>
      <c r="K128" t="str">
        <f t="shared" si="3"/>
        <v>3_6_V1f / 530R</v>
      </c>
      <c r="L128">
        <v>2</v>
      </c>
      <c r="M128" t="s">
        <v>259</v>
      </c>
      <c r="N128" t="s">
        <v>102</v>
      </c>
      <c r="O128" t="s">
        <v>165</v>
      </c>
      <c r="P128" s="14">
        <v>410</v>
      </c>
      <c r="Q128" s="1" t="s">
        <v>42</v>
      </c>
      <c r="R128">
        <v>6528</v>
      </c>
      <c r="S128">
        <f>IF(COUNTIF($K$8:K128, K128)=1, Table13[[#This Row],[Cutadapt_Metrics_Total_Reads]], 0)</f>
        <v>0</v>
      </c>
      <c r="T128" s="2">
        <f>(Table13[[#This Row],[Cutadapt_Metrics_Total_Reads]]/Table13[[#This Row],[Reads count]])*100</f>
        <v>10.406172288465216</v>
      </c>
      <c r="U128" t="s">
        <v>166</v>
      </c>
      <c r="V128" t="str">
        <f>Table13[[#This Row],[Amplicon_consensus]] &amp; "_Run" &amp; A128 &amp; "_Barcode" &amp; C128 &amp; "_" &amp; Table13[[#This Row],[Host]] &amp; "_" &amp; Table13[[#This Row],[Primers]]</f>
        <v>&gt;consensus_cl_id_33_total_supporting_reads_172_Run3_Barcode6_Gryllus bimaculatus_V1f / 530R</v>
      </c>
      <c r="W128">
        <v>172</v>
      </c>
      <c r="X128" s="17">
        <f>(Table13[[#This Row],[Supported_by_x_reads]]/Table13[[#This Row],[Cutadapt_Metrics_Total_Reads]])*100</f>
        <v>2.6348039215686274</v>
      </c>
      <c r="Y128" t="s">
        <v>167</v>
      </c>
      <c r="Z128">
        <f>LEN(Table13[[#This Row],[Sequence]])</f>
        <v>497</v>
      </c>
      <c r="AA128" t="s">
        <v>168</v>
      </c>
      <c r="AB128" t="s">
        <v>308</v>
      </c>
      <c r="AC128">
        <v>88</v>
      </c>
      <c r="AD128">
        <v>99.8</v>
      </c>
      <c r="AE128" t="s">
        <v>42</v>
      </c>
      <c r="AF128" t="s">
        <v>32</v>
      </c>
      <c r="AG128" t="s">
        <v>32</v>
      </c>
      <c r="AH128" t="s">
        <v>169</v>
      </c>
      <c r="AI128">
        <f>LEN(Table13[[#This Row],[Correct_seq_if_RC]])</f>
        <v>497</v>
      </c>
      <c r="AJ128" t="str">
        <f>IF(Table13[[#This Row],[Column1]]=Table13[[#This Row],[Sequence_length]],"yes","no")</f>
        <v>yes</v>
      </c>
    </row>
    <row r="129" spans="1:36" ht="14.5" x14ac:dyDescent="0.35">
      <c r="A129" s="14">
        <v>3</v>
      </c>
      <c r="B129" s="15">
        <v>45063</v>
      </c>
      <c r="C129">
        <v>7</v>
      </c>
      <c r="D129" t="str">
        <f>Table13[[#This Row],[Nanopore_Run]] &amp; "_" &amp; Table13[[#This Row],[Barcode_ID]]</f>
        <v>3_7</v>
      </c>
      <c r="E129" s="14">
        <v>170422</v>
      </c>
      <c r="F129">
        <f>IF(COUNTIF($D$8:D129, D129)=1, Table13[[#This Row],[Reads count]], 0)</f>
        <v>170422</v>
      </c>
      <c r="G129" s="16">
        <v>91.744699999999995</v>
      </c>
      <c r="H129" t="s">
        <v>195</v>
      </c>
      <c r="I129" t="s">
        <v>51</v>
      </c>
      <c r="J129" t="s">
        <v>187</v>
      </c>
      <c r="K129" t="str">
        <f t="shared" si="3"/>
        <v>3_7_WL1 / EukP3</v>
      </c>
      <c r="L129">
        <v>6</v>
      </c>
      <c r="M129" t="s">
        <v>259</v>
      </c>
      <c r="N129" t="s">
        <v>188</v>
      </c>
      <c r="O129" t="s">
        <v>189</v>
      </c>
      <c r="P129" s="14">
        <v>1630</v>
      </c>
      <c r="Q129" s="1" t="s">
        <v>47</v>
      </c>
      <c r="R129">
        <v>6</v>
      </c>
      <c r="S129">
        <f>IF(COUNTIF($K$8:K129, K129)=1, Table13[[#This Row],[Cutadapt_Metrics_Total_Reads]], 0)</f>
        <v>6</v>
      </c>
      <c r="T129" s="2">
        <f>(Table13[[#This Row],[Cutadapt_Metrics_Total_Reads]]/Table13[[#This Row],[Reads count]])*100</f>
        <v>3.520672213681332E-3</v>
      </c>
      <c r="U129" t="s">
        <v>356</v>
      </c>
      <c r="W129">
        <v>1</v>
      </c>
      <c r="X129" s="17">
        <f>(Table13[[#This Row],[Supported_by_x_reads]]/Table13[[#This Row],[Cutadapt_Metrics_Total_Reads]])*100</f>
        <v>16.666666666666664</v>
      </c>
      <c r="Y129" t="s">
        <v>357</v>
      </c>
      <c r="Z129">
        <f>LEN(Table13[[#This Row],[Sequence]])</f>
        <v>1581</v>
      </c>
      <c r="AA129" t="s">
        <v>168</v>
      </c>
      <c r="AB129" t="s">
        <v>308</v>
      </c>
      <c r="AC129">
        <v>28</v>
      </c>
      <c r="AD129">
        <v>94</v>
      </c>
      <c r="AE129" t="s">
        <v>42</v>
      </c>
      <c r="AF129" t="s">
        <v>54</v>
      </c>
      <c r="AG129" t="s">
        <v>31</v>
      </c>
      <c r="AH129" t="s">
        <v>31</v>
      </c>
    </row>
    <row r="130" spans="1:36" ht="14.5" x14ac:dyDescent="0.35">
      <c r="A130" s="14">
        <v>3</v>
      </c>
      <c r="B130" s="15">
        <v>45063</v>
      </c>
      <c r="C130">
        <v>7</v>
      </c>
      <c r="D130" t="str">
        <f>Table13[[#This Row],[Nanopore_Run]] &amp; "_" &amp; Table13[[#This Row],[Barcode_ID]]</f>
        <v>3_7</v>
      </c>
      <c r="E130" s="14">
        <v>170422</v>
      </c>
      <c r="F130">
        <f>IF(COUNTIF($D$8:D130, D130)=1, Table13[[#This Row],[Reads count]], 0)</f>
        <v>0</v>
      </c>
      <c r="G130" s="16">
        <v>91.744699999999995</v>
      </c>
      <c r="H130" t="s">
        <v>195</v>
      </c>
      <c r="I130" t="s">
        <v>51</v>
      </c>
      <c r="J130" t="s">
        <v>187</v>
      </c>
      <c r="K130" t="str">
        <f t="shared" si="3"/>
        <v>3_7_WL1 / EukP3</v>
      </c>
      <c r="L130">
        <v>6</v>
      </c>
      <c r="M130" t="s">
        <v>259</v>
      </c>
      <c r="N130" t="s">
        <v>188</v>
      </c>
      <c r="O130" t="s">
        <v>189</v>
      </c>
      <c r="P130" s="14">
        <v>1630</v>
      </c>
      <c r="Q130" s="1" t="s">
        <v>47</v>
      </c>
      <c r="R130">
        <v>6</v>
      </c>
      <c r="S130">
        <f>IF(COUNTIF($K$8:K130, K130)=1, Table13[[#This Row],[Cutadapt_Metrics_Total_Reads]], 0)</f>
        <v>0</v>
      </c>
      <c r="T130" s="2">
        <f>(Table13[[#This Row],[Cutadapt_Metrics_Total_Reads]]/Table13[[#This Row],[Reads count]])*100</f>
        <v>3.520672213681332E-3</v>
      </c>
      <c r="U130" t="s">
        <v>354</v>
      </c>
      <c r="W130">
        <v>1</v>
      </c>
      <c r="X130" s="17">
        <f>(Table13[[#This Row],[Supported_by_x_reads]]/Table13[[#This Row],[Cutadapt_Metrics_Total_Reads]])*100</f>
        <v>16.666666666666664</v>
      </c>
      <c r="Y130" t="s">
        <v>355</v>
      </c>
      <c r="Z130">
        <f>LEN(Table13[[#This Row],[Sequence]])</f>
        <v>1628</v>
      </c>
      <c r="AA130" t="s">
        <v>168</v>
      </c>
      <c r="AB130" t="s">
        <v>308</v>
      </c>
      <c r="AC130">
        <v>27</v>
      </c>
      <c r="AD130">
        <v>88.8</v>
      </c>
      <c r="AE130" t="s">
        <v>42</v>
      </c>
      <c r="AF130" t="s">
        <v>54</v>
      </c>
      <c r="AG130" t="s">
        <v>31</v>
      </c>
      <c r="AH130" t="s">
        <v>31</v>
      </c>
    </row>
    <row r="131" spans="1:36" ht="14.5" x14ac:dyDescent="0.35">
      <c r="A131" s="14">
        <v>3</v>
      </c>
      <c r="B131" s="15">
        <v>45063</v>
      </c>
      <c r="C131">
        <v>7</v>
      </c>
      <c r="D131" t="str">
        <f>Table13[[#This Row],[Nanopore_Run]] &amp; "_" &amp; Table13[[#This Row],[Barcode_ID]]</f>
        <v>3_7</v>
      </c>
      <c r="E131" s="14">
        <v>170422</v>
      </c>
      <c r="F131">
        <f>IF(COUNTIF($D$8:D131, D131)=1, Table13[[#This Row],[Reads count]], 0)</f>
        <v>0</v>
      </c>
      <c r="G131" s="16">
        <v>91.744699999999995</v>
      </c>
      <c r="H131" t="s">
        <v>195</v>
      </c>
      <c r="I131" t="s">
        <v>51</v>
      </c>
      <c r="J131" t="s">
        <v>187</v>
      </c>
      <c r="K131" t="str">
        <f t="shared" si="3"/>
        <v>3_7_WL1 / EukP3</v>
      </c>
      <c r="L131">
        <v>6</v>
      </c>
      <c r="M131" t="s">
        <v>259</v>
      </c>
      <c r="N131" t="s">
        <v>188</v>
      </c>
      <c r="O131" t="s">
        <v>189</v>
      </c>
      <c r="P131" s="14">
        <v>1630</v>
      </c>
      <c r="Q131" s="1" t="s">
        <v>47</v>
      </c>
      <c r="R131">
        <v>6</v>
      </c>
      <c r="S131">
        <f>IF(COUNTIF($K$8:K131, K131)=1, Table13[[#This Row],[Cutadapt_Metrics_Total_Reads]], 0)</f>
        <v>0</v>
      </c>
      <c r="T131" s="2">
        <f>(Table13[[#This Row],[Cutadapt_Metrics_Total_Reads]]/Table13[[#This Row],[Reads count]])*100</f>
        <v>3.520672213681332E-3</v>
      </c>
      <c r="U131" t="s">
        <v>350</v>
      </c>
      <c r="W131">
        <v>1</v>
      </c>
      <c r="X131" s="17">
        <f>(Table13[[#This Row],[Supported_by_x_reads]]/Table13[[#This Row],[Cutadapt_Metrics_Total_Reads]])*100</f>
        <v>16.666666666666664</v>
      </c>
      <c r="Y131" t="s">
        <v>351</v>
      </c>
      <c r="Z131">
        <f>LEN(Table13[[#This Row],[Sequence]])</f>
        <v>1634</v>
      </c>
      <c r="AA131" t="s">
        <v>353</v>
      </c>
      <c r="AB131" t="s">
        <v>352</v>
      </c>
      <c r="AC131">
        <v>81</v>
      </c>
      <c r="AD131">
        <v>78.900000000000006</v>
      </c>
      <c r="AE131" t="s">
        <v>109</v>
      </c>
      <c r="AF131" t="s">
        <v>54</v>
      </c>
      <c r="AG131" t="s">
        <v>31</v>
      </c>
      <c r="AH131" t="s">
        <v>31</v>
      </c>
    </row>
    <row r="132" spans="1:36" ht="14.5" x14ac:dyDescent="0.35">
      <c r="A132" s="14">
        <v>3</v>
      </c>
      <c r="B132" s="15">
        <v>45063</v>
      </c>
      <c r="C132">
        <v>7</v>
      </c>
      <c r="D132" t="str">
        <f>Table13[[#This Row],[Nanopore_Run]] &amp; "_" &amp; Table13[[#This Row],[Barcode_ID]]</f>
        <v>3_7</v>
      </c>
      <c r="E132" s="14">
        <v>170422</v>
      </c>
      <c r="F132">
        <f>IF(COUNTIF($D$8:D132, D132)=1, Table13[[#This Row],[Reads count]], 0)</f>
        <v>0</v>
      </c>
      <c r="G132" s="16">
        <v>91.744699999999995</v>
      </c>
      <c r="H132" t="s">
        <v>195</v>
      </c>
      <c r="I132" t="s">
        <v>51</v>
      </c>
      <c r="J132" t="s">
        <v>187</v>
      </c>
      <c r="K132" t="str">
        <f t="shared" si="3"/>
        <v>3_7_WL1 / EukP3</v>
      </c>
      <c r="L132">
        <v>6</v>
      </c>
      <c r="M132" t="s">
        <v>259</v>
      </c>
      <c r="N132" t="s">
        <v>188</v>
      </c>
      <c r="O132" t="s">
        <v>189</v>
      </c>
      <c r="P132" s="14">
        <v>1630</v>
      </c>
      <c r="Q132" s="1" t="s">
        <v>47</v>
      </c>
      <c r="R132">
        <v>6</v>
      </c>
      <c r="S132">
        <f>IF(COUNTIF($K$8:K132, K132)=1, Table13[[#This Row],[Cutadapt_Metrics_Total_Reads]], 0)</f>
        <v>0</v>
      </c>
      <c r="T132" s="2">
        <f>(Table13[[#This Row],[Cutadapt_Metrics_Total_Reads]]/Table13[[#This Row],[Reads count]])*100</f>
        <v>3.520672213681332E-3</v>
      </c>
      <c r="U132" t="s">
        <v>346</v>
      </c>
      <c r="W132">
        <v>1</v>
      </c>
      <c r="X132" s="17">
        <f>(Table13[[#This Row],[Supported_by_x_reads]]/Table13[[#This Row],[Cutadapt_Metrics_Total_Reads]])*100</f>
        <v>16.666666666666664</v>
      </c>
      <c r="Y132" t="s">
        <v>347</v>
      </c>
      <c r="Z132">
        <f>LEN(Table13[[#This Row],[Sequence]])</f>
        <v>1587</v>
      </c>
      <c r="AA132" t="s">
        <v>348</v>
      </c>
      <c r="AB132" t="s">
        <v>349</v>
      </c>
      <c r="AC132">
        <v>100</v>
      </c>
      <c r="AD132">
        <v>94</v>
      </c>
      <c r="AE132" t="s">
        <v>337</v>
      </c>
      <c r="AF132" t="s">
        <v>54</v>
      </c>
      <c r="AG132" t="s">
        <v>31</v>
      </c>
      <c r="AH132" t="s">
        <v>31</v>
      </c>
    </row>
    <row r="133" spans="1:36" ht="14.5" x14ac:dyDescent="0.35">
      <c r="A133" s="14">
        <v>3</v>
      </c>
      <c r="B133" s="15">
        <v>45063</v>
      </c>
      <c r="C133">
        <v>7</v>
      </c>
      <c r="D133" t="str">
        <f>Table13[[#This Row],[Nanopore_Run]] &amp; "_" &amp; Table13[[#This Row],[Barcode_ID]]</f>
        <v>3_7</v>
      </c>
      <c r="E133" s="14">
        <v>170422</v>
      </c>
      <c r="F133">
        <f>IF(COUNTIF($D$8:D133, D133)=1, Table13[[#This Row],[Reads count]], 0)</f>
        <v>0</v>
      </c>
      <c r="G133" s="16">
        <v>91.744699999999995</v>
      </c>
      <c r="H133" t="s">
        <v>195</v>
      </c>
      <c r="I133" t="s">
        <v>51</v>
      </c>
      <c r="J133" t="s">
        <v>187</v>
      </c>
      <c r="K133" t="str">
        <f t="shared" si="3"/>
        <v>3_7_WL1 / EukP3</v>
      </c>
      <c r="L133">
        <v>6</v>
      </c>
      <c r="M133" t="s">
        <v>259</v>
      </c>
      <c r="N133" t="s">
        <v>188</v>
      </c>
      <c r="O133" t="s">
        <v>189</v>
      </c>
      <c r="P133" s="14">
        <v>1630</v>
      </c>
      <c r="Q133" s="1" t="s">
        <v>47</v>
      </c>
      <c r="R133">
        <v>6</v>
      </c>
      <c r="S133">
        <f>IF(COUNTIF($K$8:K133, K133)=1, Table13[[#This Row],[Cutadapt_Metrics_Total_Reads]], 0)</f>
        <v>0</v>
      </c>
      <c r="T133" s="2">
        <f>(Table13[[#This Row],[Cutadapt_Metrics_Total_Reads]]/Table13[[#This Row],[Reads count]])*100</f>
        <v>3.520672213681332E-3</v>
      </c>
      <c r="U133" t="s">
        <v>196</v>
      </c>
      <c r="V133" t="str">
        <f>Table13[[#This Row],[Amplicon_consensus]] &amp; "_Run" &amp; A133 &amp; "_Barcode" &amp; C133 &amp; "_" &amp; Table13[[#This Row],[Host]] &amp; "_" &amp; Table13[[#This Row],[Primers]]</f>
        <v>&gt;consensus_cl_id_4_total_supporting_reads_1_Run3_Barcode7_Gryllus assimilis_WL1 / EukP3</v>
      </c>
      <c r="W133">
        <v>1</v>
      </c>
      <c r="X133" s="17">
        <f>(Table13[[#This Row],[Supported_by_x_reads]]/Table13[[#This Row],[Cutadapt_Metrics_Total_Reads]])*100</f>
        <v>16.666666666666664</v>
      </c>
      <c r="Y133" t="s">
        <v>197</v>
      </c>
      <c r="Z133">
        <f>LEN(Table13[[#This Row],[Sequence]])</f>
        <v>1594</v>
      </c>
      <c r="AA133" t="s">
        <v>266</v>
      </c>
      <c r="AB133" t="s">
        <v>290</v>
      </c>
      <c r="AC133">
        <v>18</v>
      </c>
      <c r="AD133">
        <v>90</v>
      </c>
      <c r="AE133" t="s">
        <v>47</v>
      </c>
      <c r="AF133" t="s">
        <v>54</v>
      </c>
      <c r="AG133" t="s">
        <v>31</v>
      </c>
      <c r="AH133" t="s">
        <v>31</v>
      </c>
    </row>
    <row r="134" spans="1:36" ht="14.5" x14ac:dyDescent="0.35">
      <c r="A134" s="14">
        <v>3</v>
      </c>
      <c r="B134" s="15">
        <v>45063</v>
      </c>
      <c r="C134">
        <v>7</v>
      </c>
      <c r="D134" t="str">
        <f>Table13[[#This Row],[Nanopore_Run]] &amp; "_" &amp; Table13[[#This Row],[Barcode_ID]]</f>
        <v>3_7</v>
      </c>
      <c r="E134" s="14">
        <v>170422</v>
      </c>
      <c r="F134">
        <f>IF(COUNTIF($D$8:D134, D134)=1, Table13[[#This Row],[Reads count]], 0)</f>
        <v>0</v>
      </c>
      <c r="G134" s="16">
        <v>91.744699999999995</v>
      </c>
      <c r="H134" t="s">
        <v>198</v>
      </c>
      <c r="I134" t="s">
        <v>199</v>
      </c>
      <c r="J134" t="s">
        <v>187</v>
      </c>
      <c r="K134" t="str">
        <f t="shared" si="3"/>
        <v>3_7_WL1 / EukP3</v>
      </c>
      <c r="L134">
        <v>6</v>
      </c>
      <c r="M134" t="s">
        <v>259</v>
      </c>
      <c r="N134" t="s">
        <v>188</v>
      </c>
      <c r="O134" t="s">
        <v>189</v>
      </c>
      <c r="P134" s="14">
        <v>1630</v>
      </c>
      <c r="Q134" s="1" t="s">
        <v>47</v>
      </c>
      <c r="R134">
        <v>6</v>
      </c>
      <c r="S134">
        <f>IF(COUNTIF($K$8:K134, K134)=1, Table13[[#This Row],[Cutadapt_Metrics_Total_Reads]], 0)</f>
        <v>0</v>
      </c>
      <c r="T134" s="2">
        <f>(Table13[[#This Row],[Cutadapt_Metrics_Total_Reads]]/Table13[[#This Row],[Reads count]])*100</f>
        <v>3.520672213681332E-3</v>
      </c>
      <c r="U134" t="s">
        <v>43</v>
      </c>
      <c r="V134" t="str">
        <f>Table13[[#This Row],[Amplicon_consensus]] &amp; "_Run" &amp; A134 &amp; "_Barcode" &amp; C134 &amp; "_" &amp; Table13[[#This Row],[Host]] &amp; "_" &amp; Table13[[#This Row],[Primers]]</f>
        <v>&gt;consensus_cl_id_0_total_supporting_reads_1_Run3_Barcode7_Alphitobius diaperinus gregarine_WL1 / EukP3</v>
      </c>
      <c r="W134">
        <v>1</v>
      </c>
      <c r="X134" s="17">
        <f>(Table13[[#This Row],[Supported_by_x_reads]]/Table13[[#This Row],[Cutadapt_Metrics_Total_Reads]])*100</f>
        <v>16.666666666666664</v>
      </c>
      <c r="Y134" t="s">
        <v>200</v>
      </c>
      <c r="Z134">
        <f>LEN(Table13[[#This Row],[Sequence]])</f>
        <v>1584</v>
      </c>
      <c r="AA134" t="s">
        <v>201</v>
      </c>
      <c r="AB134" t="s">
        <v>345</v>
      </c>
      <c r="AC134">
        <v>96</v>
      </c>
      <c r="AD134">
        <v>86.3</v>
      </c>
      <c r="AE134" t="s">
        <v>47</v>
      </c>
      <c r="AF134" t="s">
        <v>54</v>
      </c>
      <c r="AG134" t="s">
        <v>32</v>
      </c>
      <c r="AH134" t="str" cm="1">
        <f t="array" ref="AH134">ReverseComplement(Table13[[#This Row],[Sequence]])</f>
        <v>TACGTATTGCTAAGGGGTTAAAAGGATTCATTCCACGGTAACACCAGCACCTGCGCTACCTGGTTGATCCTGCCAGTAGTCATATGCTTGTTTCAAAGATTAAGCCATGCAAGTGTCAGTTCCATTGGGAATATAGAAACTGCGAATAGCTCATTAAAATCGTTGTAACCAATTCGGTAGTATCTTAAATGGATATCCATGGTAATTCTGTGGCTAATACATGCTTATTCCAAAGGAAGGCATATATCAGCTTTGAAACAAACGGTTTACCGTTCTGGTGATCATGGTGATATGTCGATCGTCATATGACATGCCGAATGGGCTTTCGAACCTATCAGCTTTGTCGGTAGAAATTAAAGCGTATTCAAGTCAGAGGCTTTGACGGGTAACGGGGAATTAAAGTTCATCTGAGAGGAGCCTGAGAGACAGCTACCACATCTAAGGATGGCAGCAGGCGCGCAAATTACCCAATCCCGACAAGGGGAGTAGTGACTTGACATAGCAGCGTCAAATTACGATTTGTCGATTGCAATGGACGGAACTTAAAACATTCCGTGAGAAAACAATTGGAGGGCAAGTCTGGTGCCAGCAGCCGCGGTAATTCCAGCTCCAATAGCATATATTAAAGTTGCTGCAGTTGAAGCGTTCGTAGTTGAATTTCTAACGAGCGATCTGGGTCACATGATTTGGAAAGCTTGTTGAAATCACTGTTTTACAGAGATTTCAGTTACTTTGAGGAAAAGAAAAGCTCCGATTAGGCGCTTGCTTGTTCTTTAAAGCATGGGATAACAAGACAAGGCTTTGTCTGTTGGTTTCAAAGGCAAGGATACTAGCTAATATGACGTACGGGATATTTGTACTTACTGGAGAGAGGTGAAATTCTGAGACCTTGGTAAAAGACAAACAAAATGCGGAGGCATTTATCTAGTACACTTGTTAATCAAGGACGAAAGTTGGGGGCATTTGAAGACGATTTAGATACCGTCGTAGTCCCAACCGTAAACTATGCCGACCGAAATTTGGCAGAAGATAATTCCGCTGAATTCCTGAGAAATCTGGAGTTTTGTCTGGGGGGAGTAAGCGGTCGCCGAAACTTGAAGGAATTGACGGAAGGGCACCACCAGGAGTGGAGCCTGCGGCTTAATTTGAGTCAACACGGGGAATTTTACCAGGCCCGGACATGGTTATGATTGACAGGTGAAGAGATCTTTCTTGATTCTATGGGTGGTGGTGCATGGCCGTTCTTAGTCGGTGAGGTGACTTGTCTGGTTAATTCCGATAACGGACGAGATCTCGGTTGTCTCCTTTCTCTTCTCATCATTCCTGAGAAGCTGTATGGAGAAGGACTCTGGGGTTTTACCCCAGGTAAGATCATAGCTATAACAGGTCTATGATGCCCTTAGATGGCCTGGGCTGCACGTGTGCTACAATGACTCTAGCAACAAGCCTTACATTTCGAAAGAAATGTGAAATCACGAAAATAGTGTCGTGTTAGGGATTGAGTTTTGTAATTTTGGCTCATGAACGAGGAATTCCTAGTAAGTATAGTTCATAATAATTGTGCTGATTGCGTCCCTGCCCTTT</v>
      </c>
    </row>
    <row r="135" spans="1:36" ht="14.5" x14ac:dyDescent="0.35">
      <c r="A135" s="14">
        <v>3</v>
      </c>
      <c r="B135" s="15">
        <v>45063</v>
      </c>
      <c r="C135">
        <v>7</v>
      </c>
      <c r="D135" t="str">
        <f>Table13[[#This Row],[Nanopore_Run]] &amp; "_" &amp; Table13[[#This Row],[Barcode_ID]]</f>
        <v>3_7</v>
      </c>
      <c r="E135" s="14">
        <v>170422</v>
      </c>
      <c r="F135">
        <f>IF(COUNTIF($D$8:D135, D135)=1, Table13[[#This Row],[Reads count]], 0)</f>
        <v>0</v>
      </c>
      <c r="G135" s="16">
        <v>91.744699999999995</v>
      </c>
      <c r="H135" t="s">
        <v>202</v>
      </c>
      <c r="I135" t="s">
        <v>51</v>
      </c>
      <c r="J135" t="s">
        <v>93</v>
      </c>
      <c r="K135" t="str">
        <f t="shared" si="3"/>
        <v>3_7_GregF / GregR</v>
      </c>
      <c r="L135">
        <v>2</v>
      </c>
      <c r="M135" t="s">
        <v>259</v>
      </c>
      <c r="N135" s="19" t="s">
        <v>94</v>
      </c>
      <c r="O135" t="s">
        <v>95</v>
      </c>
      <c r="P135" s="14">
        <v>300</v>
      </c>
      <c r="Q135" s="1" t="s">
        <v>47</v>
      </c>
      <c r="R135">
        <v>13270</v>
      </c>
      <c r="S135">
        <f>IF(COUNTIF($K$8:K135, K135)=1, Table13[[#This Row],[Cutadapt_Metrics_Total_Reads]], 0)</f>
        <v>13270</v>
      </c>
      <c r="T135" s="2">
        <f>(Table13[[#This Row],[Cutadapt_Metrics_Total_Reads]]/Table13[[#This Row],[Reads count]])*100</f>
        <v>7.7865533792585468</v>
      </c>
      <c r="U135" t="s">
        <v>203</v>
      </c>
      <c r="V135" t="str">
        <f>Table13[[#This Row],[Amplicon_consensus]] &amp; "_Run" &amp; A135 &amp; "_Barcode" &amp; C135 &amp; "_" &amp; Table13[[#This Row],[Host]] &amp; "_" &amp; Table13[[#This Row],[Primers]]</f>
        <v xml:space="preserve">&gt;consensus_cl_id_916_total_supporting_reads_99_Run3_Barcode7_Gryllus assimilis_GregF / GregR </v>
      </c>
      <c r="W135">
        <v>99</v>
      </c>
      <c r="X135" s="17">
        <f>(Table13[[#This Row],[Supported_by_x_reads]]/Table13[[#This Row],[Cutadapt_Metrics_Total_Reads]])*100</f>
        <v>0.74604370761115302</v>
      </c>
      <c r="Y135" t="s">
        <v>204</v>
      </c>
      <c r="Z135">
        <f>LEN(Table13[[#This Row],[Sequence]])</f>
        <v>371</v>
      </c>
      <c r="AA135" t="s">
        <v>266</v>
      </c>
      <c r="AB135" t="s">
        <v>290</v>
      </c>
      <c r="AC135">
        <v>85</v>
      </c>
      <c r="AD135">
        <v>97.5</v>
      </c>
      <c r="AE135" t="s">
        <v>47</v>
      </c>
      <c r="AF135" t="s">
        <v>32</v>
      </c>
      <c r="AG135" t="s">
        <v>32</v>
      </c>
      <c r="AH135" t="s">
        <v>205</v>
      </c>
      <c r="AI135">
        <f>LEN(Table13[[#This Row],[Correct_seq_if_RC]])</f>
        <v>371</v>
      </c>
      <c r="AJ135" t="str">
        <f>IF(Table13[[#This Row],[Column1]]=Table13[[#This Row],[Sequence_length]],"yes","no")</f>
        <v>yes</v>
      </c>
    </row>
    <row r="136" spans="1:36" ht="14.5" x14ac:dyDescent="0.35">
      <c r="A136" s="14">
        <v>3</v>
      </c>
      <c r="B136" s="15">
        <v>45063</v>
      </c>
      <c r="C136">
        <v>7</v>
      </c>
      <c r="D136" t="str">
        <f>Table13[[#This Row],[Nanopore_Run]] &amp; "_" &amp; Table13[[#This Row],[Barcode_ID]]</f>
        <v>3_7</v>
      </c>
      <c r="E136" s="14">
        <v>170422</v>
      </c>
      <c r="F136">
        <f>IF(COUNTIF($D$8:D136, D136)=1, Table13[[#This Row],[Reads count]], 0)</f>
        <v>0</v>
      </c>
      <c r="G136" s="16">
        <v>91.744699999999995</v>
      </c>
      <c r="H136" t="s">
        <v>206</v>
      </c>
      <c r="I136" t="s">
        <v>199</v>
      </c>
      <c r="J136" t="s">
        <v>93</v>
      </c>
      <c r="K136" t="str">
        <f t="shared" si="3"/>
        <v>3_7_GregF / GregR</v>
      </c>
      <c r="L136">
        <v>2</v>
      </c>
      <c r="M136" t="s">
        <v>259</v>
      </c>
      <c r="N136" s="19" t="s">
        <v>94</v>
      </c>
      <c r="O136" t="s">
        <v>95</v>
      </c>
      <c r="P136" s="14">
        <v>300</v>
      </c>
      <c r="Q136" s="1" t="s">
        <v>47</v>
      </c>
      <c r="R136">
        <v>13270</v>
      </c>
      <c r="S136">
        <f>IF(COUNTIF($K$8:K136, K136)=1, Table13[[#This Row],[Cutadapt_Metrics_Total_Reads]], 0)</f>
        <v>0</v>
      </c>
      <c r="T136" s="2">
        <f>(Table13[[#This Row],[Cutadapt_Metrics_Total_Reads]]/Table13[[#This Row],[Reads count]])*100</f>
        <v>7.7865533792585468</v>
      </c>
      <c r="U136" t="s">
        <v>207</v>
      </c>
      <c r="V136" t="str">
        <f>Table13[[#This Row],[Amplicon_consensus]] &amp; "_Run" &amp; A136 &amp; "_Barcode" &amp; C136 &amp; "_" &amp; Table13[[#This Row],[Host]] &amp; "_" &amp; Table13[[#This Row],[Primers]]</f>
        <v xml:space="preserve">&gt;consensus_cl_id_4_total_supporting_reads_100_Run3_Barcode7_Alphitobius diaperinus gregarine_GregF / GregR </v>
      </c>
      <c r="W136">
        <v>100</v>
      </c>
      <c r="X136" s="17">
        <f>(Table13[[#This Row],[Supported_by_x_reads]]/Table13[[#This Row],[Cutadapt_Metrics_Total_Reads]])*100</f>
        <v>0.75357950263752826</v>
      </c>
      <c r="Y136" t="s">
        <v>208</v>
      </c>
      <c r="Z136">
        <f>LEN(Table13[[#This Row],[Sequence]])</f>
        <v>363</v>
      </c>
      <c r="AA136" t="s">
        <v>201</v>
      </c>
      <c r="AB136" t="s">
        <v>345</v>
      </c>
      <c r="AC136">
        <v>84</v>
      </c>
      <c r="AD136">
        <v>85.4</v>
      </c>
      <c r="AE136" t="s">
        <v>47</v>
      </c>
      <c r="AF136" t="s">
        <v>32</v>
      </c>
      <c r="AG136" t="s">
        <v>32</v>
      </c>
      <c r="AH136" t="s">
        <v>209</v>
      </c>
      <c r="AI136">
        <f>LEN(Table13[[#This Row],[Correct_seq_if_RC]])</f>
        <v>363</v>
      </c>
      <c r="AJ136" t="str">
        <f>IF(Table13[[#This Row],[Column1]]=Table13[[#This Row],[Sequence_length]],"yes","no")</f>
        <v>yes</v>
      </c>
    </row>
    <row r="137" spans="1:36" ht="14.5" x14ac:dyDescent="0.35">
      <c r="A137" s="14">
        <v>3</v>
      </c>
      <c r="B137" s="15">
        <v>45063</v>
      </c>
      <c r="C137">
        <v>7</v>
      </c>
      <c r="D137" t="str">
        <f>Table13[[#This Row],[Nanopore_Run]] &amp; "_" &amp; Table13[[#This Row],[Barcode_ID]]</f>
        <v>3_7</v>
      </c>
      <c r="E137" s="14">
        <v>170422</v>
      </c>
      <c r="F137">
        <f>IF(COUNTIF($D$8:D137, D137)=1, Table13[[#This Row],[Reads count]], 0)</f>
        <v>0</v>
      </c>
      <c r="G137" s="16">
        <v>91.744699999999995</v>
      </c>
      <c r="H137" t="s">
        <v>210</v>
      </c>
      <c r="I137" t="s">
        <v>199</v>
      </c>
      <c r="J137" t="s">
        <v>269</v>
      </c>
      <c r="K137" t="str">
        <f t="shared" ref="K137:K144" si="4">A137 &amp; "_" &amp; C137 &amp; "_" &amp; TRIM(J137)</f>
        <v>3_7_1-18S-GRF/1222-18S-GRR</v>
      </c>
      <c r="L137">
        <v>4</v>
      </c>
      <c r="M137" t="s">
        <v>259</v>
      </c>
      <c r="N137" t="s">
        <v>170</v>
      </c>
      <c r="O137" t="s">
        <v>171</v>
      </c>
      <c r="P137" s="14">
        <v>950</v>
      </c>
      <c r="Q137" s="1" t="s">
        <v>47</v>
      </c>
      <c r="R137">
        <v>7722</v>
      </c>
      <c r="S137">
        <f>IF(COUNTIF($K$8:K137, K137)=1, Table13[[#This Row],[Cutadapt_Metrics_Total_Reads]], 0)</f>
        <v>7722</v>
      </c>
      <c r="T137" s="2">
        <f>(Table13[[#This Row],[Cutadapt_Metrics_Total_Reads]]/Table13[[#This Row],[Reads count]])*100</f>
        <v>4.5311051390078747</v>
      </c>
      <c r="U137" t="s">
        <v>329</v>
      </c>
      <c r="W137">
        <v>37</v>
      </c>
      <c r="X137" s="17">
        <f>(Table13[[#This Row],[Supported_by_x_reads]]/Table13[[#This Row],[Cutadapt_Metrics_Total_Reads]])*100</f>
        <v>0.47915047915047915</v>
      </c>
      <c r="Y137" t="s">
        <v>330</v>
      </c>
      <c r="Z137">
        <f>LEN(Table13[[#This Row],[Sequence]])</f>
        <v>1168</v>
      </c>
      <c r="AA137" t="s">
        <v>335</v>
      </c>
      <c r="AB137" t="s">
        <v>336</v>
      </c>
      <c r="AC137">
        <v>95</v>
      </c>
      <c r="AD137">
        <v>99.5</v>
      </c>
      <c r="AE137" t="s">
        <v>337</v>
      </c>
      <c r="AF137" t="s">
        <v>54</v>
      </c>
      <c r="AG137" t="s">
        <v>31</v>
      </c>
      <c r="AH137" t="s">
        <v>31</v>
      </c>
    </row>
    <row r="138" spans="1:36" ht="14.5" x14ac:dyDescent="0.35">
      <c r="A138" s="14">
        <v>3</v>
      </c>
      <c r="B138" s="15">
        <v>45063</v>
      </c>
      <c r="C138">
        <v>7</v>
      </c>
      <c r="D138" t="str">
        <f>Table13[[#This Row],[Nanopore_Run]] &amp; "_" &amp; Table13[[#This Row],[Barcode_ID]]</f>
        <v>3_7</v>
      </c>
      <c r="E138" s="14">
        <v>170422</v>
      </c>
      <c r="F138">
        <f>IF(COUNTIF($D$8:D138, D138)=1, Table13[[#This Row],[Reads count]], 0)</f>
        <v>0</v>
      </c>
      <c r="G138" s="16">
        <v>91.744699999999995</v>
      </c>
      <c r="H138" t="s">
        <v>210</v>
      </c>
      <c r="I138" t="s">
        <v>199</v>
      </c>
      <c r="J138" t="s">
        <v>269</v>
      </c>
      <c r="K138" t="str">
        <f t="shared" si="4"/>
        <v>3_7_1-18S-GRF/1222-18S-GRR</v>
      </c>
      <c r="L138">
        <v>4</v>
      </c>
      <c r="M138" t="s">
        <v>259</v>
      </c>
      <c r="N138" t="s">
        <v>170</v>
      </c>
      <c r="O138" t="s">
        <v>171</v>
      </c>
      <c r="P138" s="14">
        <v>950</v>
      </c>
      <c r="Q138" s="1" t="s">
        <v>47</v>
      </c>
      <c r="R138">
        <v>7722</v>
      </c>
      <c r="S138">
        <f>IF(COUNTIF($K$8:K138, K138)=1, Table13[[#This Row],[Cutadapt_Metrics_Total_Reads]], 0)</f>
        <v>0</v>
      </c>
      <c r="T138" s="2">
        <f>(Table13[[#This Row],[Cutadapt_Metrics_Total_Reads]]/Table13[[#This Row],[Reads count]])*100</f>
        <v>4.5311051390078747</v>
      </c>
      <c r="U138" t="s">
        <v>331</v>
      </c>
      <c r="W138">
        <v>88</v>
      </c>
      <c r="X138" s="17">
        <f>(Table13[[#This Row],[Supported_by_x_reads]]/Table13[[#This Row],[Cutadapt_Metrics_Total_Reads]])*100</f>
        <v>1.1396011396011396</v>
      </c>
      <c r="Y138" t="s">
        <v>332</v>
      </c>
      <c r="Z138">
        <f>LEN(Table13[[#This Row],[Sequence]])</f>
        <v>1044</v>
      </c>
      <c r="AA138" t="s">
        <v>339</v>
      </c>
      <c r="AB138" t="s">
        <v>340</v>
      </c>
      <c r="AC138">
        <v>94</v>
      </c>
      <c r="AD138">
        <v>95</v>
      </c>
      <c r="AE138" t="s">
        <v>67</v>
      </c>
      <c r="AF138" t="s">
        <v>54</v>
      </c>
      <c r="AG138" t="s">
        <v>31</v>
      </c>
      <c r="AH138" t="s">
        <v>31</v>
      </c>
    </row>
    <row r="139" spans="1:36" ht="14.5" x14ac:dyDescent="0.35">
      <c r="A139" s="14">
        <v>3</v>
      </c>
      <c r="B139" s="15">
        <v>45063</v>
      </c>
      <c r="C139">
        <v>7</v>
      </c>
      <c r="D139" t="str">
        <f>Table13[[#This Row],[Nanopore_Run]] &amp; "_" &amp; Table13[[#This Row],[Barcode_ID]]</f>
        <v>3_7</v>
      </c>
      <c r="E139" s="14">
        <v>170422</v>
      </c>
      <c r="F139">
        <f>IF(COUNTIF($D$8:D139, D139)=1, Table13[[#This Row],[Reads count]], 0)</f>
        <v>0</v>
      </c>
      <c r="G139" s="16">
        <v>91.744699999999995</v>
      </c>
      <c r="H139" t="s">
        <v>210</v>
      </c>
      <c r="I139" t="s">
        <v>199</v>
      </c>
      <c r="J139" t="s">
        <v>269</v>
      </c>
      <c r="K139" t="str">
        <f t="shared" si="4"/>
        <v>3_7_1-18S-GRF/1222-18S-GRR</v>
      </c>
      <c r="L139">
        <v>4</v>
      </c>
      <c r="M139" t="s">
        <v>259</v>
      </c>
      <c r="N139" t="s">
        <v>170</v>
      </c>
      <c r="O139" t="s">
        <v>171</v>
      </c>
      <c r="P139" s="14">
        <v>950</v>
      </c>
      <c r="Q139" s="1" t="s">
        <v>47</v>
      </c>
      <c r="R139">
        <v>7722</v>
      </c>
      <c r="S139">
        <f>IF(COUNTIF($K$8:K139, K139)=1, Table13[[#This Row],[Cutadapt_Metrics_Total_Reads]], 0)</f>
        <v>0</v>
      </c>
      <c r="T139" s="2">
        <f>(Table13[[#This Row],[Cutadapt_Metrics_Total_Reads]]/Table13[[#This Row],[Reads count]])*100</f>
        <v>4.5311051390078747</v>
      </c>
      <c r="U139" t="s">
        <v>333</v>
      </c>
      <c r="W139">
        <v>53</v>
      </c>
      <c r="X139" s="17">
        <f>(Table13[[#This Row],[Supported_by_x_reads]]/Table13[[#This Row],[Cutadapt_Metrics_Total_Reads]])*100</f>
        <v>0.6863506863506863</v>
      </c>
      <c r="Y139" t="s">
        <v>334</v>
      </c>
      <c r="Z139">
        <f>LEN(Table13[[#This Row],[Sequence]])</f>
        <v>1171</v>
      </c>
      <c r="AA139" t="s">
        <v>335</v>
      </c>
      <c r="AB139" t="s">
        <v>336</v>
      </c>
      <c r="AC139">
        <v>94</v>
      </c>
      <c r="AD139">
        <v>99.5</v>
      </c>
      <c r="AE139" t="s">
        <v>337</v>
      </c>
      <c r="AF139" t="s">
        <v>54</v>
      </c>
      <c r="AG139" t="s">
        <v>31</v>
      </c>
      <c r="AH139" t="s">
        <v>31</v>
      </c>
    </row>
    <row r="140" spans="1:36" ht="14.5" x14ac:dyDescent="0.35">
      <c r="A140" s="14">
        <v>3</v>
      </c>
      <c r="B140" s="15">
        <v>45063</v>
      </c>
      <c r="C140">
        <v>7</v>
      </c>
      <c r="D140" t="str">
        <f>Table13[[#This Row],[Nanopore_Run]] &amp; "_" &amp; Table13[[#This Row],[Barcode_ID]]</f>
        <v>3_7</v>
      </c>
      <c r="E140" s="14">
        <v>170422</v>
      </c>
      <c r="F140">
        <f>IF(COUNTIF($D$8:D140, D140)=1, Table13[[#This Row],[Reads count]], 0)</f>
        <v>0</v>
      </c>
      <c r="G140" s="16">
        <v>91.744699999999995</v>
      </c>
      <c r="H140" t="s">
        <v>210</v>
      </c>
      <c r="I140" t="s">
        <v>199</v>
      </c>
      <c r="J140" t="s">
        <v>269</v>
      </c>
      <c r="K140" t="str">
        <f t="shared" si="4"/>
        <v>3_7_1-18S-GRF/1222-18S-GRR</v>
      </c>
      <c r="L140">
        <v>4</v>
      </c>
      <c r="M140" t="s">
        <v>259</v>
      </c>
      <c r="N140" t="s">
        <v>170</v>
      </c>
      <c r="O140" t="s">
        <v>171</v>
      </c>
      <c r="P140" s="14">
        <v>950</v>
      </c>
      <c r="Q140" s="1" t="s">
        <v>47</v>
      </c>
      <c r="R140">
        <v>7722</v>
      </c>
      <c r="S140">
        <f>IF(COUNTIF($K$8:K140, K140)=1, Table13[[#This Row],[Cutadapt_Metrics_Total_Reads]], 0)</f>
        <v>0</v>
      </c>
      <c r="T140" s="2">
        <f>(Table13[[#This Row],[Cutadapt_Metrics_Total_Reads]]/Table13[[#This Row],[Reads count]])*100</f>
        <v>4.5311051390078747</v>
      </c>
      <c r="U140" t="s">
        <v>211</v>
      </c>
      <c r="V140" t="str">
        <f>Table13[[#This Row],[Amplicon_consensus]] &amp; "_Run" &amp; A140 &amp; "_Barcode" &amp; C140 &amp; "_" &amp; Table13[[#This Row],[Host]] &amp; "_" &amp; Table13[[#This Row],[Primers]]</f>
        <v>&gt;consensus_cl_id_213_total_supporting_reads_117_Run3_Barcode7_Alphitobius diaperinus gregarine_1-18S-GRF/1222-18S-GRR</v>
      </c>
      <c r="W140">
        <v>117</v>
      </c>
      <c r="X140" s="17">
        <f>(Table13[[#This Row],[Supported_by_x_reads]]/Table13[[#This Row],[Cutadapt_Metrics_Total_Reads]])*100</f>
        <v>1.5151515151515151</v>
      </c>
      <c r="Y140" t="s">
        <v>212</v>
      </c>
      <c r="Z140">
        <f>LEN(Table13[[#This Row],[Sequence]])</f>
        <v>1177</v>
      </c>
      <c r="AA140" t="s">
        <v>141</v>
      </c>
      <c r="AB140" t="s">
        <v>338</v>
      </c>
      <c r="AC140">
        <v>86</v>
      </c>
      <c r="AD140">
        <v>96.4</v>
      </c>
      <c r="AE140" t="s">
        <v>67</v>
      </c>
      <c r="AF140" t="s">
        <v>54</v>
      </c>
      <c r="AG140" t="s">
        <v>31</v>
      </c>
      <c r="AH140" t="s">
        <v>31</v>
      </c>
    </row>
    <row r="141" spans="1:36" ht="14.5" x14ac:dyDescent="0.35">
      <c r="A141" s="14">
        <v>3</v>
      </c>
      <c r="B141" s="15">
        <v>45063</v>
      </c>
      <c r="C141">
        <v>7</v>
      </c>
      <c r="D141" t="str">
        <f>Table13[[#This Row],[Nanopore_Run]] &amp; "_" &amp; Table13[[#This Row],[Barcode_ID]]</f>
        <v>3_7</v>
      </c>
      <c r="E141" s="14">
        <v>170422</v>
      </c>
      <c r="F141">
        <f>IF(COUNTIF($D$8:D141, D141)=1, Table13[[#This Row],[Reads count]], 0)</f>
        <v>0</v>
      </c>
      <c r="G141" s="16">
        <v>91.744699999999995</v>
      </c>
      <c r="H141" t="s">
        <v>213</v>
      </c>
      <c r="I141" t="s">
        <v>51</v>
      </c>
      <c r="J141" t="s">
        <v>164</v>
      </c>
      <c r="K141" t="str">
        <f t="shared" si="4"/>
        <v>3_7_V1f / 530R</v>
      </c>
      <c r="L141">
        <v>2</v>
      </c>
      <c r="M141" t="s">
        <v>259</v>
      </c>
      <c r="N141" t="s">
        <v>102</v>
      </c>
      <c r="O141" t="s">
        <v>165</v>
      </c>
      <c r="P141" s="14">
        <v>410</v>
      </c>
      <c r="Q141" s="1" t="s">
        <v>42</v>
      </c>
      <c r="R141">
        <v>4450</v>
      </c>
      <c r="S141">
        <f>IF(COUNTIF($K$8:K141, K141)=1, Table13[[#This Row],[Cutadapt_Metrics_Total_Reads]], 0)</f>
        <v>4450</v>
      </c>
      <c r="T141" s="2">
        <f>(Table13[[#This Row],[Cutadapt_Metrics_Total_Reads]]/Table13[[#This Row],[Reads count]])*100</f>
        <v>2.6111652251469883</v>
      </c>
      <c r="U141" t="s">
        <v>341</v>
      </c>
      <c r="W141">
        <v>31</v>
      </c>
      <c r="X141" s="17">
        <f>(Table13[[#This Row],[Supported_by_x_reads]]/Table13[[#This Row],[Cutadapt_Metrics_Total_Reads]])*100</f>
        <v>0.6966292134831461</v>
      </c>
      <c r="Y141" t="s">
        <v>342</v>
      </c>
      <c r="Z141">
        <f>LEN(Table13[[#This Row],[Sequence]])</f>
        <v>451</v>
      </c>
      <c r="AA141" t="s">
        <v>343</v>
      </c>
      <c r="AB141" t="s">
        <v>344</v>
      </c>
      <c r="AC141">
        <v>85</v>
      </c>
      <c r="AD141">
        <v>99.2</v>
      </c>
      <c r="AE141" t="s">
        <v>109</v>
      </c>
      <c r="AF141" t="s">
        <v>54</v>
      </c>
      <c r="AG141" t="s">
        <v>31</v>
      </c>
      <c r="AH141" t="s">
        <v>31</v>
      </c>
    </row>
    <row r="142" spans="1:36" ht="14.5" x14ac:dyDescent="0.35">
      <c r="A142" s="14">
        <v>3</v>
      </c>
      <c r="B142" s="15">
        <v>45063</v>
      </c>
      <c r="C142">
        <v>7</v>
      </c>
      <c r="D142" t="str">
        <f>Table13[[#This Row],[Nanopore_Run]] &amp; "_" &amp; Table13[[#This Row],[Barcode_ID]]</f>
        <v>3_7</v>
      </c>
      <c r="E142" s="14">
        <v>170422</v>
      </c>
      <c r="F142">
        <f>IF(COUNTIF($D$8:D142, D142)=1, Table13[[#This Row],[Reads count]], 0)</f>
        <v>0</v>
      </c>
      <c r="G142" s="16">
        <v>91.744699999999995</v>
      </c>
      <c r="H142" t="s">
        <v>213</v>
      </c>
      <c r="I142" t="s">
        <v>51</v>
      </c>
      <c r="J142" t="s">
        <v>164</v>
      </c>
      <c r="K142" t="str">
        <f t="shared" si="4"/>
        <v>3_7_V1f / 530R</v>
      </c>
      <c r="L142">
        <v>2</v>
      </c>
      <c r="M142" t="s">
        <v>259</v>
      </c>
      <c r="N142" t="s">
        <v>102</v>
      </c>
      <c r="O142" t="s">
        <v>165</v>
      </c>
      <c r="P142" s="14">
        <v>410</v>
      </c>
      <c r="Q142" s="1" t="s">
        <v>42</v>
      </c>
      <c r="R142" s="14">
        <v>4450</v>
      </c>
      <c r="S142">
        <f>IF(COUNTIF($K$8:K142, K142)=1, Table13[[#This Row],[Cutadapt_Metrics_Total_Reads]], 0)</f>
        <v>0</v>
      </c>
      <c r="T142" s="2">
        <f>(Table13[[#This Row],[Cutadapt_Metrics_Total_Reads]]/Table13[[#This Row],[Reads count]])*100</f>
        <v>2.6111652251469883</v>
      </c>
      <c r="U142" t="s">
        <v>214</v>
      </c>
      <c r="V142" t="str">
        <f>Table13[[#This Row],[Amplicon_consensus]] &amp; "_Run" &amp; A142 &amp; "_Barcode" &amp; C142 &amp; "_" &amp; Table13[[#This Row],[Host]] &amp; "_" &amp; Table13[[#This Row],[Primers]]</f>
        <v>&gt;consensus_cl_id_5_total_supporting_reads_205_Run3_Barcode7_Gryllus assimilis_V1f / 530R</v>
      </c>
      <c r="W142">
        <v>205</v>
      </c>
      <c r="X142" s="17">
        <f>(Table13[[#This Row],[Supported_by_x_reads]]/Table13[[#This Row],[Cutadapt_Metrics_Total_Reads]])*100</f>
        <v>4.606741573033708</v>
      </c>
      <c r="Y142" t="s">
        <v>215</v>
      </c>
      <c r="Z142">
        <f>LEN(Table13[[#This Row],[Sequence]])</f>
        <v>497</v>
      </c>
      <c r="AA142" t="s">
        <v>168</v>
      </c>
      <c r="AB142" t="s">
        <v>308</v>
      </c>
      <c r="AC142">
        <v>87</v>
      </c>
      <c r="AD142">
        <v>99.8</v>
      </c>
      <c r="AE142" t="s">
        <v>42</v>
      </c>
      <c r="AF142" t="s">
        <v>32</v>
      </c>
      <c r="AG142" t="s">
        <v>32</v>
      </c>
      <c r="AH142" t="s">
        <v>216</v>
      </c>
      <c r="AI142">
        <f>LEN(Table13[[#This Row],[Correct_seq_if_RC]])</f>
        <v>497</v>
      </c>
      <c r="AJ142" t="str">
        <f>IF(Table13[[#This Row],[Column1]]=Table13[[#This Row],[Sequence_length]],"yes","no")</f>
        <v>yes</v>
      </c>
    </row>
    <row r="143" spans="1:36" ht="14.5" x14ac:dyDescent="0.35">
      <c r="A143" s="14">
        <v>3</v>
      </c>
      <c r="B143" s="15">
        <v>45063</v>
      </c>
      <c r="C143">
        <v>8</v>
      </c>
      <c r="D143" t="str">
        <f>Table13[[#This Row],[Nanopore_Run]] &amp; "_" &amp; Table13[[#This Row],[Barcode_ID]]</f>
        <v>3_8</v>
      </c>
      <c r="E143" s="14">
        <v>453806</v>
      </c>
      <c r="F143">
        <f>IF(COUNTIF($D$8:D143, D143)=1, Table13[[#This Row],[Reads count]], 0)</f>
        <v>453806</v>
      </c>
      <c r="G143" s="16">
        <v>92.629800000000003</v>
      </c>
      <c r="H143" t="s">
        <v>239</v>
      </c>
      <c r="I143" t="s">
        <v>51</v>
      </c>
      <c r="J143" t="s">
        <v>93</v>
      </c>
      <c r="K143" t="str">
        <f t="shared" si="4"/>
        <v>3_8_GregF / GregR</v>
      </c>
      <c r="L143">
        <v>2</v>
      </c>
      <c r="M143" t="s">
        <v>259</v>
      </c>
      <c r="N143" s="19" t="s">
        <v>94</v>
      </c>
      <c r="O143" t="s">
        <v>95</v>
      </c>
      <c r="P143" s="14">
        <v>300</v>
      </c>
      <c r="Q143" s="1" t="s">
        <v>47</v>
      </c>
      <c r="R143">
        <v>13969</v>
      </c>
      <c r="S143">
        <f>IF(COUNTIF($K$8:K143, K143)=1, Table13[[#This Row],[Cutadapt_Metrics_Total_Reads]], 0)</f>
        <v>13969</v>
      </c>
      <c r="T143" s="2">
        <f>(Table13[[#This Row],[Cutadapt_Metrics_Total_Reads]]/Table13[[#This Row],[Reads count]])*100</f>
        <v>3.0781875955804905</v>
      </c>
      <c r="U143" t="s">
        <v>358</v>
      </c>
      <c r="V143" t="str">
        <f>Table13[[#This Row],[Amplicon_consensus]] &amp; "_Run" &amp; A143 &amp; "_Barcode" &amp; C143 &amp; "_" &amp; Table13[[#This Row],[Host]] &amp; "_" &amp; Table13[[#This Row],[Primers]]</f>
        <v xml:space="preserve">&gt;consensus_cl_id_10_total_supporting_reads_197_Run3_Barcode8_Gryllus assimilis_GregF / GregR </v>
      </c>
      <c r="W143">
        <v>197</v>
      </c>
      <c r="X143" s="17">
        <f>(Table13[[#This Row],[Supported_by_x_reads]]/Table13[[#This Row],[Cutadapt_Metrics_Total_Reads]])*100</f>
        <v>1.4102655880879089</v>
      </c>
      <c r="Y143" t="s">
        <v>359</v>
      </c>
      <c r="Z143">
        <f>LEN(Table13[[#This Row],[Sequence]])</f>
        <v>344</v>
      </c>
      <c r="AA143" t="s">
        <v>361</v>
      </c>
      <c r="AB143" t="s">
        <v>360</v>
      </c>
      <c r="AC143">
        <v>73</v>
      </c>
      <c r="AD143">
        <v>96.8</v>
      </c>
      <c r="AE143" t="s">
        <v>109</v>
      </c>
      <c r="AF143" t="s">
        <v>54</v>
      </c>
      <c r="AG143" t="s">
        <v>31</v>
      </c>
      <c r="AH143" t="s">
        <v>31</v>
      </c>
    </row>
    <row r="144" spans="1:36" ht="14.5" x14ac:dyDescent="0.35">
      <c r="A144" s="14">
        <v>3</v>
      </c>
      <c r="B144" s="15">
        <v>45063</v>
      </c>
      <c r="C144">
        <v>8</v>
      </c>
      <c r="D144" t="str">
        <f>Table13[[#This Row],[Nanopore_Run]] &amp; "_" &amp; Table13[[#This Row],[Barcode_ID]]</f>
        <v>3_8</v>
      </c>
      <c r="E144" s="14">
        <v>453806</v>
      </c>
      <c r="F144">
        <f>IF(COUNTIF($D$8:D144, D144)=1, Table13[[#This Row],[Reads count]], 0)</f>
        <v>0</v>
      </c>
      <c r="G144" s="16">
        <v>92.629800000000003</v>
      </c>
      <c r="H144" t="s">
        <v>239</v>
      </c>
      <c r="I144" t="s">
        <v>51</v>
      </c>
      <c r="J144" t="s">
        <v>93</v>
      </c>
      <c r="K144" t="str">
        <f t="shared" si="4"/>
        <v>3_8_GregF / GregR</v>
      </c>
      <c r="L144">
        <v>2</v>
      </c>
      <c r="M144" t="s">
        <v>259</v>
      </c>
      <c r="N144" s="19" t="s">
        <v>94</v>
      </c>
      <c r="O144" t="s">
        <v>95</v>
      </c>
      <c r="P144" s="14">
        <v>300</v>
      </c>
      <c r="Q144" s="1" t="s">
        <v>47</v>
      </c>
      <c r="R144">
        <v>13969</v>
      </c>
      <c r="S144">
        <f>IF(COUNTIF($K$8:K144, K144)=1, Table13[[#This Row],[Cutadapt_Metrics_Total_Reads]], 0)</f>
        <v>0</v>
      </c>
      <c r="T144" s="2">
        <f>(Table13[[#This Row],[Cutadapt_Metrics_Total_Reads]]/Table13[[#This Row],[Reads count]])*100</f>
        <v>3.0781875955804905</v>
      </c>
      <c r="U144" t="s">
        <v>240</v>
      </c>
      <c r="V144" t="str">
        <f>Table13[[#This Row],[Amplicon_consensus]] &amp; "_Run" &amp; A144 &amp; "_Barcode" &amp; C144 &amp; "_" &amp; Table13[[#This Row],[Host]] &amp; "_" &amp; Table13[[#This Row],[Primers]]</f>
        <v xml:space="preserve">&gt;consensus_cl_id_2087_total_supporting_reads_45_Run3_Barcode8_Gryllus assimilis_GregF / GregR </v>
      </c>
      <c r="W144">
        <v>45</v>
      </c>
      <c r="X144" s="17">
        <f>(Table13[[#This Row],[Supported_by_x_reads]]/Table13[[#This Row],[Cutadapt_Metrics_Total_Reads]])*100</f>
        <v>0.32214188560383705</v>
      </c>
      <c r="Y144" t="s">
        <v>241</v>
      </c>
      <c r="Z144">
        <f>LEN(Table13[[#This Row],[Sequence]])</f>
        <v>355</v>
      </c>
      <c r="AA144" t="s">
        <v>266</v>
      </c>
      <c r="AB144" t="s">
        <v>290</v>
      </c>
      <c r="AC144">
        <v>88</v>
      </c>
      <c r="AD144">
        <v>97.4</v>
      </c>
      <c r="AE144" t="s">
        <v>47</v>
      </c>
      <c r="AF144" t="s">
        <v>32</v>
      </c>
      <c r="AG144" t="s">
        <v>32</v>
      </c>
      <c r="AH144" t="s">
        <v>242</v>
      </c>
      <c r="AI144">
        <f>LEN(Table13[[#This Row],[Correct_seq_if_RC]])</f>
        <v>355</v>
      </c>
      <c r="AJ144" t="str">
        <f>IF(Table13[[#This Row],[Column1]]=Table13[[#This Row],[Sequence_length]],"yes","no")</f>
        <v>yes</v>
      </c>
    </row>
  </sheetData>
  <mergeCells count="1">
    <mergeCell ref="A2:O5"/>
  </mergeCells>
  <phoneticPr fontId="7" type="noConversion"/>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A165F-62B3-4F0B-AF5F-5C6AB9C17599}">
  <dimension ref="A1:D40"/>
  <sheetViews>
    <sheetView workbookViewId="0">
      <selection activeCell="C8" sqref="C8"/>
    </sheetView>
  </sheetViews>
  <sheetFormatPr defaultRowHeight="14.5" x14ac:dyDescent="0.35"/>
  <cols>
    <col min="1" max="1" width="23.54296875" bestFit="1" customWidth="1"/>
    <col min="2" max="2" width="17.1796875" bestFit="1" customWidth="1"/>
    <col min="3" max="3" width="13.36328125" bestFit="1" customWidth="1"/>
    <col min="4" max="4" width="10.7265625" bestFit="1" customWidth="1"/>
    <col min="5" max="5" width="13.7265625" bestFit="1" customWidth="1"/>
    <col min="6" max="6" width="10.7265625" bestFit="1" customWidth="1"/>
  </cols>
  <sheetData>
    <row r="1" spans="1:4" x14ac:dyDescent="0.35">
      <c r="A1" s="3" t="s">
        <v>15</v>
      </c>
      <c r="B1" t="s" vm="1">
        <v>508</v>
      </c>
    </row>
    <row r="2" spans="1:4" x14ac:dyDescent="0.35">
      <c r="A2" s="3" t="s">
        <v>294</v>
      </c>
      <c r="B2" t="s" vm="2">
        <v>47</v>
      </c>
    </row>
    <row r="3" spans="1:4" x14ac:dyDescent="0.35">
      <c r="A3" s="3" t="s">
        <v>447</v>
      </c>
      <c r="B3" t="s" vm="3">
        <v>32</v>
      </c>
    </row>
    <row r="5" spans="1:4" x14ac:dyDescent="0.35">
      <c r="A5" s="3" t="s">
        <v>514</v>
      </c>
      <c r="B5" s="3" t="s">
        <v>509</v>
      </c>
    </row>
    <row r="6" spans="1:4" x14ac:dyDescent="0.35">
      <c r="A6" s="3" t="s">
        <v>262</v>
      </c>
      <c r="B6" t="s">
        <v>502</v>
      </c>
      <c r="C6" t="s">
        <v>25</v>
      </c>
      <c r="D6" t="s">
        <v>248</v>
      </c>
    </row>
    <row r="7" spans="1:4" x14ac:dyDescent="0.35">
      <c r="A7" s="1" t="s">
        <v>510</v>
      </c>
      <c r="B7">
        <v>1</v>
      </c>
      <c r="C7">
        <v>1</v>
      </c>
      <c r="D7">
        <v>2</v>
      </c>
    </row>
    <row r="8" spans="1:4" x14ac:dyDescent="0.35">
      <c r="A8" s="1" t="s">
        <v>511</v>
      </c>
      <c r="B8">
        <v>1</v>
      </c>
      <c r="C8">
        <v>1</v>
      </c>
      <c r="D8">
        <v>2</v>
      </c>
    </row>
    <row r="9" spans="1:4" x14ac:dyDescent="0.35">
      <c r="A9" s="1" t="s">
        <v>512</v>
      </c>
      <c r="B9">
        <v>1</v>
      </c>
      <c r="C9">
        <v>4</v>
      </c>
      <c r="D9">
        <v>5</v>
      </c>
    </row>
    <row r="10" spans="1:4" x14ac:dyDescent="0.35">
      <c r="A10" s="1" t="s">
        <v>513</v>
      </c>
      <c r="B10">
        <v>1</v>
      </c>
      <c r="C10">
        <v>2</v>
      </c>
      <c r="D10">
        <v>3</v>
      </c>
    </row>
    <row r="11" spans="1:4" x14ac:dyDescent="0.35">
      <c r="A11" s="1" t="s">
        <v>516</v>
      </c>
      <c r="C11">
        <v>1</v>
      </c>
      <c r="D11">
        <v>1</v>
      </c>
    </row>
    <row r="12" spans="1:4" x14ac:dyDescent="0.35">
      <c r="A12" s="1" t="s">
        <v>517</v>
      </c>
      <c r="C12">
        <v>1</v>
      </c>
      <c r="D12">
        <v>1</v>
      </c>
    </row>
    <row r="13" spans="1:4" x14ac:dyDescent="0.35">
      <c r="A13" s="1" t="s">
        <v>518</v>
      </c>
      <c r="B13">
        <v>1</v>
      </c>
      <c r="D13">
        <v>1</v>
      </c>
    </row>
    <row r="14" spans="1:4" x14ac:dyDescent="0.35">
      <c r="A14" s="1" t="s">
        <v>519</v>
      </c>
      <c r="B14">
        <v>1</v>
      </c>
      <c r="D14">
        <v>1</v>
      </c>
    </row>
    <row r="15" spans="1:4" x14ac:dyDescent="0.35">
      <c r="A15" s="1" t="s">
        <v>520</v>
      </c>
      <c r="B15">
        <v>1</v>
      </c>
      <c r="D15">
        <v>1</v>
      </c>
    </row>
    <row r="16" spans="1:4" x14ac:dyDescent="0.35">
      <c r="A16" s="1" t="s">
        <v>521</v>
      </c>
      <c r="B16">
        <v>1</v>
      </c>
      <c r="D16">
        <v>1</v>
      </c>
    </row>
    <row r="17" spans="1:4" x14ac:dyDescent="0.35">
      <c r="A17" s="1" t="s">
        <v>522</v>
      </c>
      <c r="B17">
        <v>1</v>
      </c>
      <c r="D17">
        <v>1</v>
      </c>
    </row>
    <row r="18" spans="1:4" x14ac:dyDescent="0.35">
      <c r="A18" s="1" t="s">
        <v>523</v>
      </c>
      <c r="B18">
        <v>1</v>
      </c>
      <c r="D18">
        <v>1</v>
      </c>
    </row>
    <row r="19" spans="1:4" x14ac:dyDescent="0.35">
      <c r="A19" s="1" t="s">
        <v>524</v>
      </c>
      <c r="B19">
        <v>2</v>
      </c>
      <c r="D19">
        <v>2</v>
      </c>
    </row>
    <row r="20" spans="1:4" x14ac:dyDescent="0.35">
      <c r="A20" s="1" t="s">
        <v>525</v>
      </c>
      <c r="B20">
        <v>1</v>
      </c>
      <c r="D20">
        <v>1</v>
      </c>
    </row>
    <row r="21" spans="1:4" x14ac:dyDescent="0.35">
      <c r="A21" s="1" t="s">
        <v>248</v>
      </c>
      <c r="B21">
        <v>13</v>
      </c>
      <c r="C21">
        <v>10</v>
      </c>
      <c r="D21">
        <v>23</v>
      </c>
    </row>
    <row r="40" spans="1:1" x14ac:dyDescent="0.35">
      <c r="A40"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G25"/>
  <sheetViews>
    <sheetView zoomScale="85" zoomScaleNormal="115" workbookViewId="0">
      <selection activeCell="G2" sqref="G2"/>
    </sheetView>
  </sheetViews>
  <sheetFormatPr defaultRowHeight="14.5" x14ac:dyDescent="0.35"/>
  <cols>
    <col min="1" max="1" width="19.54296875" customWidth="1"/>
    <col min="2" max="2" width="28.54296875" customWidth="1"/>
    <col min="3" max="3" width="22.453125" customWidth="1"/>
    <col min="4" max="4" width="21.26953125" customWidth="1"/>
  </cols>
  <sheetData>
    <row r="1" spans="1:7" x14ac:dyDescent="0.35">
      <c r="A1" t="s">
        <v>249</v>
      </c>
      <c r="B1" t="s">
        <v>250</v>
      </c>
      <c r="C1" t="s">
        <v>3</v>
      </c>
      <c r="D1" t="s">
        <v>251</v>
      </c>
    </row>
    <row r="2" spans="1:7" x14ac:dyDescent="0.35">
      <c r="A2">
        <v>1</v>
      </c>
      <c r="B2" t="s">
        <v>34</v>
      </c>
      <c r="C2">
        <v>897</v>
      </c>
      <c r="D2" s="2">
        <v>90.268303121516226</v>
      </c>
      <c r="G2">
        <f>SUM(C2:C22,C24:C25)</f>
        <v>1995585</v>
      </c>
    </row>
    <row r="3" spans="1:7" x14ac:dyDescent="0.35">
      <c r="A3">
        <v>1</v>
      </c>
      <c r="B3" t="s">
        <v>86</v>
      </c>
      <c r="C3">
        <v>906</v>
      </c>
      <c r="D3" s="2">
        <v>90.465864679911306</v>
      </c>
      <c r="G3">
        <f>AVERAGE(D2:D22,D24:D25)</f>
        <v>90.483789852662099</v>
      </c>
    </row>
    <row r="4" spans="1:7" x14ac:dyDescent="0.35">
      <c r="A4">
        <v>1</v>
      </c>
      <c r="B4" t="s">
        <v>51</v>
      </c>
      <c r="C4">
        <v>1368</v>
      </c>
      <c r="D4" s="2">
        <v>87.730208333333593</v>
      </c>
      <c r="G4" s="2">
        <f>MIN(D2:D25)</f>
        <v>82.527773333333329</v>
      </c>
    </row>
    <row r="5" spans="1:7" x14ac:dyDescent="0.35">
      <c r="A5">
        <v>1</v>
      </c>
      <c r="B5" t="s">
        <v>24</v>
      </c>
      <c r="C5">
        <v>938</v>
      </c>
      <c r="D5" s="2">
        <v>89.271681769723031</v>
      </c>
      <c r="G5" s="2">
        <f>MAX(D2:D25)</f>
        <v>96.283330000000007</v>
      </c>
    </row>
    <row r="6" spans="1:7" x14ac:dyDescent="0.35">
      <c r="A6">
        <v>1</v>
      </c>
      <c r="B6" t="s">
        <v>64</v>
      </c>
      <c r="C6">
        <v>871</v>
      </c>
      <c r="D6" s="2">
        <v>89.918568427094868</v>
      </c>
    </row>
    <row r="7" spans="1:7" x14ac:dyDescent="0.35">
      <c r="A7">
        <v>1</v>
      </c>
      <c r="B7" t="s">
        <v>122</v>
      </c>
      <c r="C7">
        <v>1018</v>
      </c>
      <c r="D7" s="2">
        <v>87.565725049115613</v>
      </c>
    </row>
    <row r="8" spans="1:7" x14ac:dyDescent="0.35">
      <c r="A8">
        <v>1</v>
      </c>
      <c r="B8" t="s">
        <v>158</v>
      </c>
      <c r="C8">
        <v>2193</v>
      </c>
      <c r="D8" s="2">
        <v>88.547206475148656</v>
      </c>
    </row>
    <row r="9" spans="1:7" x14ac:dyDescent="0.35">
      <c r="A9">
        <v>1</v>
      </c>
      <c r="B9" t="s">
        <v>51</v>
      </c>
      <c r="C9">
        <v>1100</v>
      </c>
      <c r="D9" s="2">
        <v>89.630975818181469</v>
      </c>
    </row>
    <row r="10" spans="1:7" x14ac:dyDescent="0.35">
      <c r="A10">
        <v>1</v>
      </c>
      <c r="B10" t="s">
        <v>24</v>
      </c>
      <c r="C10">
        <v>951</v>
      </c>
      <c r="D10" s="2">
        <v>88.156504100946449</v>
      </c>
    </row>
    <row r="11" spans="1:7" x14ac:dyDescent="0.35">
      <c r="A11">
        <v>1</v>
      </c>
      <c r="B11" t="s">
        <v>64</v>
      </c>
      <c r="C11">
        <v>1277</v>
      </c>
      <c r="D11" s="2">
        <v>88.62137086922445</v>
      </c>
    </row>
    <row r="12" spans="1:7" x14ac:dyDescent="0.35">
      <c r="A12">
        <v>2</v>
      </c>
      <c r="B12" t="s">
        <v>34</v>
      </c>
      <c r="C12">
        <v>15</v>
      </c>
      <c r="D12" s="2">
        <v>82.527773333333329</v>
      </c>
    </row>
    <row r="13" spans="1:7" x14ac:dyDescent="0.35">
      <c r="A13">
        <v>2</v>
      </c>
      <c r="B13" t="s">
        <v>51</v>
      </c>
      <c r="C13">
        <v>40</v>
      </c>
      <c r="D13" s="2">
        <v>84.906255000000016</v>
      </c>
    </row>
    <row r="14" spans="1:7" x14ac:dyDescent="0.35">
      <c r="A14">
        <v>2</v>
      </c>
      <c r="B14" t="s">
        <v>24</v>
      </c>
      <c r="C14">
        <v>10</v>
      </c>
      <c r="D14" s="2">
        <v>96.283330000000007</v>
      </c>
    </row>
    <row r="15" spans="1:7" x14ac:dyDescent="0.35">
      <c r="A15">
        <v>2</v>
      </c>
      <c r="B15" t="s">
        <v>39</v>
      </c>
      <c r="C15">
        <v>26</v>
      </c>
      <c r="D15" s="2">
        <v>90.413461538461533</v>
      </c>
    </row>
    <row r="16" spans="1:7" x14ac:dyDescent="0.35">
      <c r="A16">
        <v>2</v>
      </c>
      <c r="B16" t="s">
        <v>39</v>
      </c>
      <c r="C16">
        <v>105</v>
      </c>
      <c r="D16" s="2">
        <v>92.330938095238139</v>
      </c>
    </row>
    <row r="17" spans="1:4" x14ac:dyDescent="0.35">
      <c r="A17">
        <v>3</v>
      </c>
      <c r="B17" t="s">
        <v>244</v>
      </c>
      <c r="C17">
        <v>514883</v>
      </c>
      <c r="D17" s="2">
        <v>93.538799999999995</v>
      </c>
    </row>
    <row r="18" spans="1:4" x14ac:dyDescent="0.35">
      <c r="A18">
        <v>3</v>
      </c>
      <c r="B18" t="s">
        <v>186</v>
      </c>
      <c r="C18">
        <v>127554</v>
      </c>
      <c r="D18" s="2">
        <v>93.227500000000006</v>
      </c>
    </row>
    <row r="19" spans="1:4" x14ac:dyDescent="0.35">
      <c r="A19">
        <v>3</v>
      </c>
      <c r="B19" t="s">
        <v>51</v>
      </c>
      <c r="C19">
        <v>453806</v>
      </c>
      <c r="D19" s="2">
        <v>92.629800000000003</v>
      </c>
    </row>
    <row r="20" spans="1:4" x14ac:dyDescent="0.35">
      <c r="A20">
        <v>3</v>
      </c>
      <c r="B20" t="s">
        <v>24</v>
      </c>
      <c r="C20">
        <v>74208</v>
      </c>
      <c r="D20" s="2">
        <v>90.939800000000005</v>
      </c>
    </row>
    <row r="21" spans="1:4" x14ac:dyDescent="0.35">
      <c r="A21">
        <v>3</v>
      </c>
      <c r="B21" t="s">
        <v>24</v>
      </c>
      <c r="C21">
        <v>62732</v>
      </c>
      <c r="D21" s="2">
        <v>93.876400000000004</v>
      </c>
    </row>
    <row r="22" spans="1:4" x14ac:dyDescent="0.35">
      <c r="A22">
        <v>3</v>
      </c>
      <c r="B22" t="s">
        <v>252</v>
      </c>
      <c r="C22">
        <v>170422</v>
      </c>
      <c r="D22" s="2">
        <v>91.744699999999995</v>
      </c>
    </row>
    <row r="23" spans="1:4" x14ac:dyDescent="0.35">
      <c r="A23">
        <v>3</v>
      </c>
      <c r="B23" t="s">
        <v>253</v>
      </c>
      <c r="C23">
        <v>170422</v>
      </c>
      <c r="D23" s="2">
        <v>91.744699999999995</v>
      </c>
    </row>
    <row r="24" spans="1:4" x14ac:dyDescent="0.35">
      <c r="A24">
        <v>3</v>
      </c>
      <c r="B24" t="s">
        <v>218</v>
      </c>
      <c r="C24">
        <v>250834</v>
      </c>
      <c r="D24" s="2">
        <v>94.3964</v>
      </c>
    </row>
    <row r="25" spans="1:4" x14ac:dyDescent="0.35">
      <c r="A25">
        <v>3</v>
      </c>
      <c r="B25" t="s">
        <v>235</v>
      </c>
      <c r="C25">
        <v>329431</v>
      </c>
      <c r="D25" s="2">
        <v>94.135599999999997</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8C0EE-F095-4232-8508-088D530B00FD}">
  <dimension ref="A2:N42"/>
  <sheetViews>
    <sheetView zoomScale="85" zoomScaleNormal="85" workbookViewId="0">
      <selection activeCell="G35" sqref="G35"/>
    </sheetView>
  </sheetViews>
  <sheetFormatPr defaultRowHeight="14.5" x14ac:dyDescent="0.35"/>
  <cols>
    <col min="1" max="1" width="23.08984375" customWidth="1"/>
    <col min="2" max="2" width="23.453125" customWidth="1"/>
    <col min="3" max="3" width="9.54296875" customWidth="1"/>
  </cols>
  <sheetData>
    <row r="2" spans="1:14" x14ac:dyDescent="0.35">
      <c r="A2" s="13" t="s">
        <v>262</v>
      </c>
      <c r="B2" s="13" t="s">
        <v>109</v>
      </c>
      <c r="C2" s="13" t="s">
        <v>319</v>
      </c>
      <c r="D2" s="13" t="s">
        <v>337</v>
      </c>
      <c r="E2" s="13" t="s">
        <v>67</v>
      </c>
      <c r="F2" s="13" t="s">
        <v>45</v>
      </c>
      <c r="G2" s="13" t="s">
        <v>47</v>
      </c>
      <c r="H2" s="13" t="s">
        <v>430</v>
      </c>
      <c r="I2" s="13" t="s">
        <v>42</v>
      </c>
      <c r="J2" s="13" t="s">
        <v>31</v>
      </c>
      <c r="K2" s="13" t="s">
        <v>284</v>
      </c>
      <c r="L2" s="13" t="s">
        <v>328</v>
      </c>
      <c r="M2" s="13" t="s">
        <v>248</v>
      </c>
    </row>
    <row r="3" spans="1:14" x14ac:dyDescent="0.35">
      <c r="A3" s="36" t="s">
        <v>269</v>
      </c>
      <c r="D3">
        <v>2</v>
      </c>
      <c r="E3">
        <v>5</v>
      </c>
      <c r="I3">
        <v>1</v>
      </c>
      <c r="M3">
        <v>8</v>
      </c>
    </row>
    <row r="4" spans="1:14" x14ac:dyDescent="0.35">
      <c r="A4" s="36" t="s">
        <v>75</v>
      </c>
      <c r="H4">
        <v>15</v>
      </c>
      <c r="M4">
        <v>15</v>
      </c>
    </row>
    <row r="5" spans="1:14" x14ac:dyDescent="0.35">
      <c r="A5" s="36" t="s">
        <v>35</v>
      </c>
      <c r="E5">
        <v>2</v>
      </c>
      <c r="J5">
        <v>1</v>
      </c>
      <c r="M5">
        <v>3</v>
      </c>
    </row>
    <row r="6" spans="1:14" x14ac:dyDescent="0.35">
      <c r="A6" s="36" t="s">
        <v>40</v>
      </c>
      <c r="J6">
        <v>1</v>
      </c>
      <c r="M6">
        <v>1</v>
      </c>
    </row>
    <row r="7" spans="1:14" x14ac:dyDescent="0.35">
      <c r="A7" s="36" t="s">
        <v>93</v>
      </c>
      <c r="B7">
        <v>3</v>
      </c>
      <c r="G7">
        <v>15</v>
      </c>
      <c r="H7">
        <v>1</v>
      </c>
      <c r="L7">
        <v>1</v>
      </c>
      <c r="M7">
        <v>20</v>
      </c>
    </row>
    <row r="8" spans="1:14" x14ac:dyDescent="0.35">
      <c r="A8" s="36" t="s">
        <v>25</v>
      </c>
      <c r="G8">
        <v>11</v>
      </c>
      <c r="M8">
        <v>11</v>
      </c>
    </row>
    <row r="9" spans="1:14" x14ac:dyDescent="0.35">
      <c r="A9" s="36" t="s">
        <v>440</v>
      </c>
      <c r="E9">
        <v>9</v>
      </c>
      <c r="F9">
        <v>1</v>
      </c>
      <c r="G9">
        <v>4</v>
      </c>
      <c r="M9">
        <v>14</v>
      </c>
    </row>
    <row r="10" spans="1:14" x14ac:dyDescent="0.35">
      <c r="A10" s="36" t="s">
        <v>48</v>
      </c>
      <c r="G10">
        <v>4</v>
      </c>
      <c r="J10">
        <v>3</v>
      </c>
      <c r="M10">
        <v>7</v>
      </c>
    </row>
    <row r="11" spans="1:14" x14ac:dyDescent="0.35">
      <c r="A11" s="36" t="s">
        <v>56</v>
      </c>
      <c r="E11">
        <v>7</v>
      </c>
      <c r="F11">
        <v>2</v>
      </c>
      <c r="G11">
        <v>3</v>
      </c>
      <c r="K11">
        <v>1</v>
      </c>
      <c r="M11">
        <v>13</v>
      </c>
    </row>
    <row r="12" spans="1:14" x14ac:dyDescent="0.35">
      <c r="A12" s="36" t="s">
        <v>164</v>
      </c>
      <c r="B12">
        <v>1</v>
      </c>
      <c r="G12">
        <v>1</v>
      </c>
      <c r="I12">
        <v>6</v>
      </c>
      <c r="M12">
        <v>8</v>
      </c>
    </row>
    <row r="13" spans="1:14" x14ac:dyDescent="0.35">
      <c r="A13" s="36" t="s">
        <v>187</v>
      </c>
      <c r="C13">
        <v>1</v>
      </c>
      <c r="G13">
        <v>1</v>
      </c>
      <c r="M13">
        <v>2</v>
      </c>
    </row>
    <row r="14" spans="1:14" x14ac:dyDescent="0.35">
      <c r="A14" s="32" t="s">
        <v>248</v>
      </c>
      <c r="B14" s="33">
        <v>4</v>
      </c>
      <c r="C14" s="33">
        <v>1</v>
      </c>
      <c r="D14" s="33">
        <v>2</v>
      </c>
      <c r="E14" s="33">
        <v>23</v>
      </c>
      <c r="F14" s="33">
        <v>3</v>
      </c>
      <c r="G14" s="33">
        <v>39</v>
      </c>
      <c r="H14" s="33">
        <v>16</v>
      </c>
      <c r="I14" s="33">
        <v>7</v>
      </c>
      <c r="J14" s="33">
        <v>5</v>
      </c>
      <c r="K14" s="33">
        <v>1</v>
      </c>
      <c r="L14" s="33">
        <v>1</v>
      </c>
      <c r="M14" s="33">
        <v>102</v>
      </c>
      <c r="N14">
        <f>M14-J14</f>
        <v>97</v>
      </c>
    </row>
    <row r="16" spans="1:14" ht="15" thickBot="1" x14ac:dyDescent="0.4">
      <c r="C16" s="37"/>
      <c r="D16" s="37"/>
      <c r="E16" s="37"/>
      <c r="F16" s="37"/>
      <c r="G16" s="37"/>
      <c r="H16" s="37"/>
      <c r="I16" s="37"/>
      <c r="J16" s="37"/>
    </row>
    <row r="17" spans="1:10" ht="15.5" customHeight="1" thickTop="1" thickBot="1" x14ac:dyDescent="0.4">
      <c r="A17" s="52" t="s">
        <v>254</v>
      </c>
      <c r="B17" s="54" t="s">
        <v>255</v>
      </c>
      <c r="C17" s="50" t="s">
        <v>258</v>
      </c>
      <c r="D17" s="47" t="s">
        <v>498</v>
      </c>
      <c r="E17" s="48"/>
      <c r="F17" s="48"/>
      <c r="G17" s="48"/>
      <c r="H17" s="48"/>
      <c r="I17" s="48"/>
      <c r="J17" s="49"/>
    </row>
    <row r="18" spans="1:10" ht="21.5" thickBot="1" x14ac:dyDescent="0.4">
      <c r="A18" s="53"/>
      <c r="B18" s="55"/>
      <c r="C18" s="51"/>
      <c r="D18" s="38" t="s">
        <v>67</v>
      </c>
      <c r="E18" s="38" t="s">
        <v>45</v>
      </c>
      <c r="F18" s="38" t="s">
        <v>256</v>
      </c>
      <c r="G18" s="39" t="s">
        <v>42</v>
      </c>
      <c r="H18" s="39" t="s">
        <v>109</v>
      </c>
      <c r="I18" s="39" t="s">
        <v>328</v>
      </c>
      <c r="J18" s="40" t="s">
        <v>80</v>
      </c>
    </row>
    <row r="19" spans="1:10" ht="15.5" thickTop="1" thickBot="1" x14ac:dyDescent="0.4">
      <c r="A19" s="45" t="s">
        <v>47</v>
      </c>
      <c r="B19" s="4" t="s">
        <v>269</v>
      </c>
      <c r="C19" s="5">
        <v>18965</v>
      </c>
      <c r="D19" s="6">
        <v>5</v>
      </c>
      <c r="E19" s="7"/>
      <c r="F19" s="7"/>
      <c r="G19" s="5">
        <v>1</v>
      </c>
      <c r="H19" s="5"/>
      <c r="I19" s="5"/>
      <c r="J19" s="5">
        <v>2</v>
      </c>
    </row>
    <row r="20" spans="1:10" ht="15" thickBot="1" x14ac:dyDescent="0.4">
      <c r="A20" s="56"/>
      <c r="B20" s="4" t="s">
        <v>270</v>
      </c>
      <c r="C20" s="5">
        <v>289</v>
      </c>
      <c r="D20" s="6"/>
      <c r="E20" s="6"/>
      <c r="F20" s="6">
        <v>1</v>
      </c>
      <c r="G20" s="5"/>
      <c r="H20" s="5"/>
      <c r="I20" s="5"/>
      <c r="J20" s="5">
        <v>1</v>
      </c>
    </row>
    <row r="21" spans="1:10" ht="15" thickBot="1" x14ac:dyDescent="0.4">
      <c r="A21" s="56"/>
      <c r="B21" s="4" t="s">
        <v>271</v>
      </c>
      <c r="C21" s="5">
        <v>45758</v>
      </c>
      <c r="D21" s="6"/>
      <c r="E21" s="6"/>
      <c r="F21" s="6">
        <v>15</v>
      </c>
      <c r="G21" s="5"/>
      <c r="H21" s="5">
        <v>3</v>
      </c>
      <c r="I21" s="5">
        <v>1</v>
      </c>
      <c r="J21" s="5">
        <v>1</v>
      </c>
    </row>
    <row r="22" spans="1:10" ht="15" thickBot="1" x14ac:dyDescent="0.4">
      <c r="A22" s="46"/>
      <c r="B22" s="8" t="s">
        <v>272</v>
      </c>
      <c r="C22" s="9">
        <v>54</v>
      </c>
      <c r="D22" s="10"/>
      <c r="E22" s="10"/>
      <c r="F22" s="10">
        <v>11</v>
      </c>
      <c r="G22" s="9"/>
      <c r="H22" s="9"/>
      <c r="I22" s="9"/>
      <c r="J22" s="9"/>
    </row>
    <row r="23" spans="1:10" ht="15.5" thickTop="1" thickBot="1" x14ac:dyDescent="0.4">
      <c r="A23" s="45" t="s">
        <v>37</v>
      </c>
      <c r="B23" s="4" t="s">
        <v>273</v>
      </c>
      <c r="C23" s="5">
        <v>2182</v>
      </c>
      <c r="D23" s="7"/>
      <c r="E23" s="7"/>
      <c r="F23" s="7"/>
      <c r="G23" s="5"/>
      <c r="H23" s="5"/>
      <c r="I23" s="5"/>
      <c r="J23" s="5">
        <v>15</v>
      </c>
    </row>
    <row r="24" spans="1:10" ht="15" thickBot="1" x14ac:dyDescent="0.4">
      <c r="A24" s="46"/>
      <c r="B24" s="8" t="s">
        <v>274</v>
      </c>
      <c r="C24" s="9">
        <v>3</v>
      </c>
      <c r="D24" s="10">
        <v>2</v>
      </c>
      <c r="E24" s="11"/>
      <c r="F24" s="11"/>
      <c r="G24" s="9"/>
      <c r="H24" s="9"/>
      <c r="I24" s="9"/>
      <c r="J24" s="9"/>
    </row>
    <row r="25" spans="1:10" ht="15.5" thickTop="1" thickBot="1" x14ac:dyDescent="0.4">
      <c r="A25" s="45" t="s">
        <v>257</v>
      </c>
      <c r="B25" s="4" t="s">
        <v>275</v>
      </c>
      <c r="C25" s="5">
        <v>72</v>
      </c>
      <c r="D25" s="6">
        <v>9</v>
      </c>
      <c r="E25" s="6">
        <v>1</v>
      </c>
      <c r="F25" s="6">
        <v>4</v>
      </c>
      <c r="G25" s="5"/>
      <c r="H25" s="5"/>
      <c r="I25" s="5"/>
      <c r="J25" s="5"/>
    </row>
    <row r="26" spans="1:10" ht="15" thickBot="1" x14ac:dyDescent="0.4">
      <c r="A26" s="46"/>
      <c r="B26" s="8" t="s">
        <v>499</v>
      </c>
      <c r="C26" s="9">
        <v>12</v>
      </c>
      <c r="D26" s="10"/>
      <c r="E26" s="10"/>
      <c r="F26" s="10">
        <v>4</v>
      </c>
      <c r="G26" s="9"/>
      <c r="H26" s="9"/>
      <c r="I26" s="9"/>
      <c r="J26" s="9"/>
    </row>
    <row r="27" spans="1:10" ht="15.5" thickTop="1" thickBot="1" x14ac:dyDescent="0.4">
      <c r="A27" s="12" t="s">
        <v>42</v>
      </c>
      <c r="B27" s="4" t="s">
        <v>276</v>
      </c>
      <c r="C27" s="5">
        <v>18824</v>
      </c>
      <c r="D27" s="6"/>
      <c r="E27" s="6"/>
      <c r="F27" s="6">
        <v>1</v>
      </c>
      <c r="G27" s="5">
        <v>6</v>
      </c>
      <c r="H27" s="5">
        <v>1</v>
      </c>
      <c r="I27" s="5"/>
      <c r="J27" s="5"/>
    </row>
    <row r="28" spans="1:10" ht="15.5" thickTop="1" thickBot="1" x14ac:dyDescent="0.4">
      <c r="A28" s="34" t="s">
        <v>500</v>
      </c>
      <c r="B28" s="8" t="s">
        <v>277</v>
      </c>
      <c r="C28" s="9">
        <v>1809</v>
      </c>
      <c r="D28" s="10">
        <v>7</v>
      </c>
      <c r="E28" s="10">
        <v>2</v>
      </c>
      <c r="F28" s="10">
        <v>3</v>
      </c>
      <c r="G28" s="9"/>
      <c r="H28" s="9"/>
      <c r="I28" s="9"/>
      <c r="J28" s="9">
        <v>1</v>
      </c>
    </row>
    <row r="29" spans="1:10" ht="15" thickTop="1" x14ac:dyDescent="0.35">
      <c r="A29" s="35"/>
    </row>
    <row r="30" spans="1:10" x14ac:dyDescent="0.35">
      <c r="A30" s="13" t="s">
        <v>262</v>
      </c>
      <c r="B30" s="13" t="s">
        <v>505</v>
      </c>
    </row>
    <row r="31" spans="1:10" x14ac:dyDescent="0.35">
      <c r="A31" s="1" t="s">
        <v>269</v>
      </c>
      <c r="B31">
        <v>18965</v>
      </c>
    </row>
    <row r="32" spans="1:10" x14ac:dyDescent="0.35">
      <c r="A32" s="1" t="s">
        <v>75</v>
      </c>
      <c r="B32">
        <v>2182</v>
      </c>
    </row>
    <row r="33" spans="1:2" x14ac:dyDescent="0.35">
      <c r="A33" s="1" t="s">
        <v>35</v>
      </c>
      <c r="B33">
        <v>3</v>
      </c>
    </row>
    <row r="34" spans="1:2" x14ac:dyDescent="0.35">
      <c r="A34" s="1" t="s">
        <v>40</v>
      </c>
      <c r="B34">
        <v>0</v>
      </c>
    </row>
    <row r="35" spans="1:2" x14ac:dyDescent="0.35">
      <c r="A35" s="1" t="s">
        <v>502</v>
      </c>
      <c r="B35">
        <v>45758</v>
      </c>
    </row>
    <row r="36" spans="1:2" x14ac:dyDescent="0.35">
      <c r="A36" s="1" t="s">
        <v>25</v>
      </c>
      <c r="B36">
        <v>54</v>
      </c>
    </row>
    <row r="37" spans="1:2" x14ac:dyDescent="0.35">
      <c r="A37" s="1" t="s">
        <v>440</v>
      </c>
      <c r="B37">
        <v>72</v>
      </c>
    </row>
    <row r="38" spans="1:2" x14ac:dyDescent="0.35">
      <c r="A38" s="1" t="s">
        <v>48</v>
      </c>
      <c r="B38">
        <v>12</v>
      </c>
    </row>
    <row r="39" spans="1:2" x14ac:dyDescent="0.35">
      <c r="A39" s="1" t="s">
        <v>56</v>
      </c>
      <c r="B39">
        <v>1809</v>
      </c>
    </row>
    <row r="40" spans="1:2" x14ac:dyDescent="0.35">
      <c r="A40" s="1" t="s">
        <v>164</v>
      </c>
      <c r="B40">
        <v>18824</v>
      </c>
    </row>
    <row r="41" spans="1:2" x14ac:dyDescent="0.35">
      <c r="A41" s="1" t="s">
        <v>187</v>
      </c>
      <c r="B41">
        <v>289</v>
      </c>
    </row>
    <row r="42" spans="1:2" x14ac:dyDescent="0.35">
      <c r="A42" s="1"/>
    </row>
  </sheetData>
  <mergeCells count="7">
    <mergeCell ref="A23:A24"/>
    <mergeCell ref="A25:A26"/>
    <mergeCell ref="D17:J17"/>
    <mergeCell ref="C17:C18"/>
    <mergeCell ref="A17:A18"/>
    <mergeCell ref="B17:B18"/>
    <mergeCell ref="A19:A2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5B5BC-B15B-4898-9CBC-88D3EC16EFF8}">
  <dimension ref="A1:I41"/>
  <sheetViews>
    <sheetView workbookViewId="0">
      <selection activeCell="D45" sqref="D45"/>
    </sheetView>
  </sheetViews>
  <sheetFormatPr defaultRowHeight="14.5" x14ac:dyDescent="0.35"/>
  <cols>
    <col min="1" max="1" width="12.81640625" customWidth="1"/>
    <col min="2" max="2" width="8.1796875" customWidth="1"/>
    <col min="3" max="3" width="10.1796875" customWidth="1"/>
    <col min="4" max="4" width="31.7265625" customWidth="1"/>
    <col min="5" max="5" width="11.90625" customWidth="1"/>
    <col min="6" max="6" width="9.7265625" customWidth="1"/>
    <col min="7" max="7" width="9.36328125" customWidth="1"/>
    <col min="8" max="8" width="29.6328125" customWidth="1"/>
    <col min="9" max="9" width="9.54296875" customWidth="1"/>
    <col min="10" max="10" width="10.26953125" customWidth="1"/>
  </cols>
  <sheetData>
    <row r="1" spans="1:9" ht="29.5" customHeight="1" x14ac:dyDescent="0.35">
      <c r="A1" s="42" t="s">
        <v>515</v>
      </c>
      <c r="B1" s="42" t="s">
        <v>502</v>
      </c>
      <c r="C1" s="42" t="s">
        <v>526</v>
      </c>
      <c r="D1" s="42" t="s">
        <v>550</v>
      </c>
      <c r="E1" s="42" t="s">
        <v>17</v>
      </c>
      <c r="F1" s="42" t="s">
        <v>25</v>
      </c>
      <c r="G1" s="43" t="s">
        <v>526</v>
      </c>
      <c r="H1" s="43" t="s">
        <v>550</v>
      </c>
      <c r="I1" s="42" t="s">
        <v>17</v>
      </c>
    </row>
    <row r="2" spans="1:9" x14ac:dyDescent="0.35">
      <c r="A2" s="1" t="s">
        <v>510</v>
      </c>
      <c r="B2">
        <v>1</v>
      </c>
      <c r="C2" t="s">
        <v>528</v>
      </c>
      <c r="D2" t="s">
        <v>551</v>
      </c>
      <c r="E2" t="s">
        <v>98</v>
      </c>
      <c r="F2">
        <v>1</v>
      </c>
      <c r="G2" t="s">
        <v>527</v>
      </c>
      <c r="H2" t="s">
        <v>551</v>
      </c>
      <c r="I2" t="s">
        <v>90</v>
      </c>
    </row>
    <row r="3" spans="1:9" x14ac:dyDescent="0.35">
      <c r="A3" s="1" t="s">
        <v>511</v>
      </c>
      <c r="B3">
        <v>1</v>
      </c>
      <c r="C3" t="s">
        <v>530</v>
      </c>
      <c r="D3" t="s">
        <v>552</v>
      </c>
      <c r="E3" t="s">
        <v>531</v>
      </c>
      <c r="F3">
        <v>1</v>
      </c>
      <c r="G3" t="s">
        <v>529</v>
      </c>
      <c r="H3" t="s">
        <v>552</v>
      </c>
      <c r="I3" t="s">
        <v>111</v>
      </c>
    </row>
    <row r="4" spans="1:9" x14ac:dyDescent="0.35">
      <c r="A4" s="1" t="s">
        <v>512</v>
      </c>
      <c r="B4">
        <v>1</v>
      </c>
      <c r="C4" t="s">
        <v>532</v>
      </c>
      <c r="D4" t="s">
        <v>553</v>
      </c>
      <c r="E4" t="s">
        <v>154</v>
      </c>
      <c r="F4">
        <v>4</v>
      </c>
      <c r="G4" t="s">
        <v>533</v>
      </c>
      <c r="H4" t="s">
        <v>553</v>
      </c>
      <c r="I4" t="s">
        <v>448</v>
      </c>
    </row>
    <row r="5" spans="1:9" x14ac:dyDescent="0.35">
      <c r="A5" s="1" t="s">
        <v>512</v>
      </c>
      <c r="B5">
        <v>1</v>
      </c>
      <c r="C5" t="s">
        <v>532</v>
      </c>
      <c r="D5" t="s">
        <v>555</v>
      </c>
      <c r="E5" t="s">
        <v>154</v>
      </c>
      <c r="F5">
        <v>4</v>
      </c>
      <c r="G5" t="s">
        <v>534</v>
      </c>
      <c r="H5" t="s">
        <v>555</v>
      </c>
      <c r="I5" t="s">
        <v>537</v>
      </c>
    </row>
    <row r="6" spans="1:9" x14ac:dyDescent="0.35">
      <c r="A6" s="1" t="s">
        <v>512</v>
      </c>
      <c r="B6">
        <v>1</v>
      </c>
      <c r="C6" t="s">
        <v>532</v>
      </c>
      <c r="D6" t="s">
        <v>556</v>
      </c>
      <c r="E6" t="s">
        <v>154</v>
      </c>
      <c r="F6">
        <v>4</v>
      </c>
      <c r="G6" t="s">
        <v>535</v>
      </c>
      <c r="H6" t="s">
        <v>556</v>
      </c>
      <c r="I6" t="s">
        <v>538</v>
      </c>
    </row>
    <row r="7" spans="1:9" x14ac:dyDescent="0.35">
      <c r="A7" s="1" t="s">
        <v>512</v>
      </c>
      <c r="B7">
        <v>1</v>
      </c>
      <c r="C7" t="s">
        <v>532</v>
      </c>
      <c r="D7" t="s">
        <v>557</v>
      </c>
      <c r="E7" t="s">
        <v>154</v>
      </c>
      <c r="F7">
        <v>4</v>
      </c>
      <c r="G7" t="s">
        <v>536</v>
      </c>
      <c r="H7" t="s">
        <v>557</v>
      </c>
      <c r="I7" t="s">
        <v>452</v>
      </c>
    </row>
    <row r="8" spans="1:9" x14ac:dyDescent="0.35">
      <c r="A8" s="1" t="s">
        <v>513</v>
      </c>
      <c r="B8">
        <v>1</v>
      </c>
      <c r="C8" t="s">
        <v>541</v>
      </c>
      <c r="D8" t="s">
        <v>554</v>
      </c>
      <c r="E8" t="s">
        <v>131</v>
      </c>
      <c r="F8">
        <v>2</v>
      </c>
      <c r="G8" t="s">
        <v>539</v>
      </c>
      <c r="H8" t="s">
        <v>554</v>
      </c>
      <c r="I8" t="s">
        <v>542</v>
      </c>
    </row>
    <row r="9" spans="1:9" x14ac:dyDescent="0.35">
      <c r="A9" s="1" t="s">
        <v>513</v>
      </c>
      <c r="B9">
        <v>1</v>
      </c>
      <c r="C9" t="s">
        <v>541</v>
      </c>
      <c r="D9" t="s">
        <v>558</v>
      </c>
      <c r="E9" t="s">
        <v>131</v>
      </c>
      <c r="F9">
        <v>2</v>
      </c>
      <c r="G9" t="s">
        <v>540</v>
      </c>
      <c r="H9" t="s">
        <v>558</v>
      </c>
      <c r="I9" s="41" t="s">
        <v>470</v>
      </c>
    </row>
    <row r="10" spans="1:9" x14ac:dyDescent="0.35">
      <c r="A10" s="1"/>
    </row>
    <row r="12" spans="1:9" ht="29.5" customHeight="1" x14ac:dyDescent="0.35">
      <c r="A12" s="42" t="s">
        <v>515</v>
      </c>
      <c r="B12" s="42" t="s">
        <v>440</v>
      </c>
      <c r="C12" s="42" t="s">
        <v>526</v>
      </c>
      <c r="D12" s="42" t="s">
        <v>550</v>
      </c>
      <c r="E12" s="42" t="s">
        <v>17</v>
      </c>
      <c r="F12" s="42" t="s">
        <v>48</v>
      </c>
      <c r="G12" s="43" t="s">
        <v>526</v>
      </c>
      <c r="H12" s="43" t="s">
        <v>550</v>
      </c>
      <c r="I12" s="42" t="s">
        <v>17</v>
      </c>
    </row>
    <row r="13" spans="1:9" x14ac:dyDescent="0.35">
      <c r="A13" s="1" t="s">
        <v>512</v>
      </c>
      <c r="B13">
        <v>1</v>
      </c>
      <c r="C13" t="s">
        <v>543</v>
      </c>
      <c r="D13" t="s">
        <v>559</v>
      </c>
      <c r="E13" t="s">
        <v>445</v>
      </c>
      <c r="F13">
        <v>2</v>
      </c>
      <c r="G13" t="s">
        <v>544</v>
      </c>
      <c r="H13" t="s">
        <v>559</v>
      </c>
      <c r="I13" t="s">
        <v>446</v>
      </c>
    </row>
    <row r="14" spans="1:9" x14ac:dyDescent="0.35">
      <c r="A14" s="1" t="s">
        <v>512</v>
      </c>
      <c r="B14">
        <v>1</v>
      </c>
      <c r="C14" t="s">
        <v>543</v>
      </c>
      <c r="D14" t="s">
        <v>560</v>
      </c>
      <c r="E14" t="s">
        <v>445</v>
      </c>
      <c r="F14">
        <v>2</v>
      </c>
      <c r="G14" t="s">
        <v>545</v>
      </c>
      <c r="H14" t="s">
        <v>560</v>
      </c>
      <c r="I14" t="s">
        <v>148</v>
      </c>
    </row>
    <row r="15" spans="1:9" x14ac:dyDescent="0.35">
      <c r="A15" s="1" t="s">
        <v>513</v>
      </c>
      <c r="B15">
        <v>1</v>
      </c>
      <c r="C15" t="s">
        <v>547</v>
      </c>
      <c r="D15" t="s">
        <v>561</v>
      </c>
      <c r="E15" t="s">
        <v>549</v>
      </c>
      <c r="F15">
        <v>1</v>
      </c>
      <c r="G15" t="s">
        <v>546</v>
      </c>
      <c r="H15" t="s">
        <v>561</v>
      </c>
      <c r="I15" t="s">
        <v>548</v>
      </c>
    </row>
    <row r="19" spans="1:5" x14ac:dyDescent="0.35">
      <c r="A19" t="s">
        <v>573</v>
      </c>
      <c r="E19" t="s">
        <v>574</v>
      </c>
    </row>
    <row r="20" spans="1:5" x14ac:dyDescent="0.35">
      <c r="A20" t="s">
        <v>562</v>
      </c>
      <c r="E20" t="s">
        <v>562</v>
      </c>
    </row>
    <row r="21" spans="1:5" x14ac:dyDescent="0.35">
      <c r="A21" t="s">
        <v>98</v>
      </c>
      <c r="E21" t="s">
        <v>90</v>
      </c>
    </row>
    <row r="22" spans="1:5" x14ac:dyDescent="0.35">
      <c r="A22" t="s">
        <v>563</v>
      </c>
      <c r="E22" t="s">
        <v>563</v>
      </c>
    </row>
    <row r="23" spans="1:5" x14ac:dyDescent="0.35">
      <c r="A23" t="s">
        <v>531</v>
      </c>
      <c r="E23" t="s">
        <v>111</v>
      </c>
    </row>
    <row r="24" spans="1:5" x14ac:dyDescent="0.35">
      <c r="A24" t="s">
        <v>564</v>
      </c>
      <c r="E24" t="s">
        <v>564</v>
      </c>
    </row>
    <row r="25" spans="1:5" x14ac:dyDescent="0.35">
      <c r="A25" t="s">
        <v>154</v>
      </c>
      <c r="E25" t="s">
        <v>448</v>
      </c>
    </row>
    <row r="26" spans="1:5" x14ac:dyDescent="0.35">
      <c r="A26" t="s">
        <v>565</v>
      </c>
      <c r="E26" t="s">
        <v>565</v>
      </c>
    </row>
    <row r="27" spans="1:5" x14ac:dyDescent="0.35">
      <c r="A27" t="s">
        <v>154</v>
      </c>
      <c r="E27" t="s">
        <v>537</v>
      </c>
    </row>
    <row r="28" spans="1:5" x14ac:dyDescent="0.35">
      <c r="A28" t="s">
        <v>566</v>
      </c>
      <c r="E28" t="s">
        <v>566</v>
      </c>
    </row>
    <row r="29" spans="1:5" x14ac:dyDescent="0.35">
      <c r="A29" t="s">
        <v>154</v>
      </c>
      <c r="E29" t="s">
        <v>538</v>
      </c>
    </row>
    <row r="30" spans="1:5" x14ac:dyDescent="0.35">
      <c r="A30" t="s">
        <v>567</v>
      </c>
      <c r="E30" t="s">
        <v>567</v>
      </c>
    </row>
    <row r="31" spans="1:5" x14ac:dyDescent="0.35">
      <c r="A31" t="s">
        <v>154</v>
      </c>
      <c r="E31" t="s">
        <v>452</v>
      </c>
    </row>
    <row r="32" spans="1:5" x14ac:dyDescent="0.35">
      <c r="A32" t="s">
        <v>568</v>
      </c>
      <c r="E32" t="s">
        <v>568</v>
      </c>
    </row>
    <row r="33" spans="1:5" x14ac:dyDescent="0.35">
      <c r="A33" t="s">
        <v>131</v>
      </c>
      <c r="E33" t="s">
        <v>542</v>
      </c>
    </row>
    <row r="34" spans="1:5" x14ac:dyDescent="0.35">
      <c r="A34" t="s">
        <v>569</v>
      </c>
      <c r="E34" t="s">
        <v>569</v>
      </c>
    </row>
    <row r="35" spans="1:5" x14ac:dyDescent="0.35">
      <c r="A35" t="s">
        <v>131</v>
      </c>
      <c r="E35" s="41" t="s">
        <v>470</v>
      </c>
    </row>
    <row r="36" spans="1:5" x14ac:dyDescent="0.35">
      <c r="A36" t="s">
        <v>570</v>
      </c>
      <c r="E36" t="s">
        <v>570</v>
      </c>
    </row>
    <row r="37" spans="1:5" x14ac:dyDescent="0.35">
      <c r="A37" t="s">
        <v>445</v>
      </c>
      <c r="E37" t="s">
        <v>446</v>
      </c>
    </row>
    <row r="38" spans="1:5" x14ac:dyDescent="0.35">
      <c r="A38" t="s">
        <v>571</v>
      </c>
      <c r="E38" t="s">
        <v>571</v>
      </c>
    </row>
    <row r="39" spans="1:5" x14ac:dyDescent="0.35">
      <c r="A39" t="s">
        <v>445</v>
      </c>
      <c r="E39" t="s">
        <v>148</v>
      </c>
    </row>
    <row r="40" spans="1:5" x14ac:dyDescent="0.35">
      <c r="A40" t="s">
        <v>572</v>
      </c>
      <c r="E40" t="s">
        <v>572</v>
      </c>
    </row>
    <row r="41" spans="1:5" x14ac:dyDescent="0.35">
      <c r="A41" t="s">
        <v>549</v>
      </c>
      <c r="E41" t="s">
        <v>548</v>
      </c>
    </row>
  </sheetData>
  <phoneticPr fontId="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ca7ed520-2192-43da-ba9c-71f3d978ff0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42C0822DEDEEF4EA34B907C0D404243" ma:contentTypeVersion="20" ma:contentTypeDescription="Create a new document." ma:contentTypeScope="" ma:versionID="eb20ec6b9babb7c16e3679f31726f6b9">
  <xsd:schema xmlns:xsd="http://www.w3.org/2001/XMLSchema" xmlns:xs="http://www.w3.org/2001/XMLSchema" xmlns:p="http://schemas.microsoft.com/office/2006/metadata/properties" xmlns:ns1="http://schemas.microsoft.com/sharepoint/v3" xmlns:ns3="ca7ed520-2192-43da-ba9c-71f3d978ff00" xmlns:ns4="f29ddb70-7fa3-4632-a452-0de62eb4ad4d" targetNamespace="http://schemas.microsoft.com/office/2006/metadata/properties" ma:root="true" ma:fieldsID="c40672c702edd1f03310c3ffe5c8bbb6" ns1:_="" ns3:_="" ns4:_="">
    <xsd:import namespace="http://schemas.microsoft.com/sharepoint/v3"/>
    <xsd:import namespace="ca7ed520-2192-43da-ba9c-71f3d978ff00"/>
    <xsd:import namespace="f29ddb70-7fa3-4632-a452-0de62eb4ad4d"/>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LengthInSeconds" minOccurs="0"/>
                <xsd:element ref="ns3:_activity" minOccurs="0"/>
                <xsd:element ref="ns3:MediaServiceObjectDetectorVersions" minOccurs="0"/>
                <xsd:element ref="ns1:_ip_UnifiedCompliancePolicyProperties" minOccurs="0"/>
                <xsd:element ref="ns1:_ip_UnifiedCompliancePolicyUIAction"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7ed520-2192-43da-ba9c-71f3d978ff0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ternalName="MediaServiceDateTaken"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ystemTags" ma:index="26" nillable="true" ma:displayName="MediaServiceSystemTags" ma:hidden="true" ma:internalName="MediaServiceSystemTags" ma:readOnly="true">
      <xsd:simpleType>
        <xsd:restriction base="dms:Note"/>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29ddb70-7fa3-4632-a452-0de62eb4ad4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A2574F4-ACA2-4B64-B7A1-B7EC3D5ED4CA}">
  <ds:schemaRefs>
    <ds:schemaRef ds:uri="http://purl.org/dc/terms/"/>
    <ds:schemaRef ds:uri="http://purl.org/dc/elements/1.1/"/>
    <ds:schemaRef ds:uri="http://schemas.microsoft.com/office/infopath/2007/PartnerControls"/>
    <ds:schemaRef ds:uri="http://schemas.microsoft.com/office/2006/documentManagement/types"/>
    <ds:schemaRef ds:uri="http://www.w3.org/XML/1998/namespace"/>
    <ds:schemaRef ds:uri="ca7ed520-2192-43da-ba9c-71f3d978ff00"/>
    <ds:schemaRef ds:uri="http://purl.org/dc/dcmitype/"/>
    <ds:schemaRef ds:uri="http://schemas.openxmlformats.org/package/2006/metadata/core-properties"/>
    <ds:schemaRef ds:uri="f29ddb70-7fa3-4632-a452-0de62eb4ad4d"/>
    <ds:schemaRef ds:uri="http://schemas.microsoft.com/sharepoint/v3"/>
    <ds:schemaRef ds:uri="http://schemas.microsoft.com/office/2006/metadata/properties"/>
  </ds:schemaRefs>
</ds:datastoreItem>
</file>

<file path=customXml/itemProps2.xml><?xml version="1.0" encoding="utf-8"?>
<ds:datastoreItem xmlns:ds="http://schemas.openxmlformats.org/officeDocument/2006/customXml" ds:itemID="{26B5D2AC-9CFB-4780-A94F-0F44BF4D9899}">
  <ds:schemaRefs>
    <ds:schemaRef ds:uri="http://schemas.microsoft.com/sharepoint/v3/contenttype/forms"/>
  </ds:schemaRefs>
</ds:datastoreItem>
</file>

<file path=customXml/itemProps3.xml><?xml version="1.0" encoding="utf-8"?>
<ds:datastoreItem xmlns:ds="http://schemas.openxmlformats.org/officeDocument/2006/customXml" ds:itemID="{C043E736-68B1-4BA7-A887-A761115E62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a7ed520-2192-43da-ba9c-71f3d978ff00"/>
    <ds:schemaRef ds:uri="f29ddb70-7fa3-4632-a452-0de62eb4ad4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912a5d77-fb98-4eee-af32-1334d8f04a53}" enabled="0" method="" siteId="{912a5d77-fb98-4eee-af32-1334d8f04a5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Pivot</vt:lpstr>
      <vt:lpstr>Run_Metrics</vt:lpstr>
      <vt:lpstr>Data_Table1</vt:lpstr>
      <vt:lpstr>ConcatGregarine_18S_28S</vt:lpstr>
    </vt:vector>
  </TitlesOfParts>
  <Manager/>
  <Company>University of Exeter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Bessette, Edouard</dc:creator>
  <cp:keywords/>
  <dc:description/>
  <cp:lastModifiedBy>Bessette, Edouard</cp:lastModifiedBy>
  <cp:revision/>
  <dcterms:created xsi:type="dcterms:W3CDTF">2024-03-13T09:25:57Z</dcterms:created>
  <dcterms:modified xsi:type="dcterms:W3CDTF">2025-04-03T06:52:14Z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0x010100B42C0822DEDEEF4EA34B907C0D404243</vt:lpwstr>
  </property>
</Properties>
</file>